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240" yWindow="105" windowWidth="14805" windowHeight="8010" tabRatio="731"/>
  </bookViews>
  <sheets>
    <sheet name="Items" sheetId="23" r:id="rId1"/>
    <sheet name="Buildings" sheetId="48" r:id="rId2"/>
    <sheet name="LevelUp" sheetId="45" r:id="rId3"/>
    <sheet name="ZConfig" sheetId="42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B5" i="45" l="1"/>
  <c r="B6" i="45"/>
  <c r="B7" i="45"/>
  <c r="B8" i="45"/>
  <c r="B9" i="45"/>
  <c r="B10" i="45"/>
  <c r="B11" i="45"/>
  <c r="B12" i="45"/>
  <c r="B13" i="45"/>
  <c r="B14" i="45"/>
  <c r="B15" i="45"/>
  <c r="B16" i="45"/>
  <c r="B17" i="45"/>
  <c r="B18" i="45"/>
  <c r="B19" i="45"/>
  <c r="B20" i="45"/>
  <c r="B21" i="45"/>
  <c r="B22" i="45"/>
  <c r="B23" i="45"/>
  <c r="B24" i="45"/>
  <c r="B25" i="45"/>
  <c r="B26" i="45"/>
  <c r="B2" i="45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F6" i="42"/>
  <c r="F13" i="42" l="1"/>
  <c r="F4" i="42"/>
  <c r="F12" i="42"/>
  <c r="F27" i="42"/>
  <c r="F26" i="42"/>
  <c r="F10" i="42"/>
  <c r="F11" i="42"/>
  <c r="F25" i="42"/>
  <c r="F24" i="42"/>
  <c r="F23" i="42"/>
  <c r="F15" i="42"/>
  <c r="F7" i="42"/>
  <c r="F21" i="42"/>
  <c r="F3" i="42"/>
  <c r="F20" i="42"/>
  <c r="F19" i="42"/>
  <c r="F18" i="42"/>
  <c r="F17" i="42"/>
  <c r="F9" i="42"/>
  <c r="F16" i="42"/>
  <c r="F8" i="42"/>
  <c r="F22" i="42"/>
  <c r="F14" i="42"/>
  <c r="F5" i="42"/>
</calcChain>
</file>

<file path=xl/sharedStrings.xml><?xml version="1.0" encoding="utf-8"?>
<sst xmlns="http://schemas.openxmlformats.org/spreadsheetml/2006/main" count="186" uniqueCount="97">
  <si>
    <t>Output</t>
  </si>
  <si>
    <t>Ignore below rows contains random data</t>
  </si>
  <si>
    <t>Descriptions</t>
  </si>
  <si>
    <t>C:\Projects\TappyTown\Unity\Assets\Resources\LevelBlocks</t>
  </si>
  <si>
    <t>C:\GitRepo\HarvestValley\Assets\Resources\CSVs</t>
  </si>
  <si>
    <t>id</t>
  </si>
  <si>
    <t>name</t>
  </si>
  <si>
    <t>description</t>
  </si>
  <si>
    <t>unlocksAtLevel</t>
  </si>
  <si>
    <t>timeRequiredInMins</t>
  </si>
  <si>
    <t>XP</t>
  </si>
  <si>
    <t>type</t>
  </si>
  <si>
    <t>gemCost</t>
  </si>
  <si>
    <t>source</t>
  </si>
  <si>
    <t>sellValueMax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</si>
  <si>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</si>
  <si>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</si>
  <si>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</si>
  <si>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</si>
  <si>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</si>
  <si>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</si>
  <si>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</si>
  <si>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</si>
  <si>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ItemType</t>
  </si>
  <si>
    <t>ItemSource</t>
  </si>
  <si>
    <t>Wheat</t>
  </si>
  <si>
    <t>Corn</t>
  </si>
  <si>
    <t>Soybean</t>
  </si>
  <si>
    <t>Sugarcane</t>
  </si>
  <si>
    <t>Carrot</t>
  </si>
  <si>
    <t>AppleTree</t>
  </si>
  <si>
    <t>Bakery</t>
  </si>
  <si>
    <t>BbqGrill</t>
  </si>
  <si>
    <t>BeehiveTree</t>
  </si>
  <si>
    <t>BlackberryBush</t>
  </si>
  <si>
    <t>CacaoTree</t>
  </si>
  <si>
    <t>CakeOven</t>
  </si>
  <si>
    <t>CherryTree</t>
  </si>
  <si>
    <t>Chicken</t>
  </si>
  <si>
    <t>Cow</t>
  </si>
  <si>
    <t>Dairy</t>
  </si>
  <si>
    <t>FeedMill</t>
  </si>
  <si>
    <t>Field</t>
  </si>
  <si>
    <t>Fish</t>
  </si>
  <si>
    <t>Goat</t>
  </si>
  <si>
    <t>HoneyExtractor</t>
  </si>
  <si>
    <t>IceCreamMaker</t>
  </si>
  <si>
    <t>JamMaker</t>
  </si>
  <si>
    <t>Jeweler</t>
  </si>
  <si>
    <t>JuicePress</t>
  </si>
  <si>
    <t>Loom</t>
  </si>
  <si>
    <t>LureWorkbench</t>
  </si>
  <si>
    <t>Mine</t>
  </si>
  <si>
    <t>NetMaker</t>
  </si>
  <si>
    <t>PieOven</t>
  </si>
  <si>
    <t>Pig</t>
  </si>
  <si>
    <t>PopcornPot</t>
  </si>
  <si>
    <t>RaspberryBush</t>
  </si>
  <si>
    <t>SewingMachine</t>
  </si>
  <si>
    <t>Sheep</t>
  </si>
  <si>
    <t>Smelter</t>
  </si>
  <si>
    <t>SugarMill</t>
  </si>
  <si>
    <t>AnimalGoods</t>
  </si>
  <si>
    <t>Crops</t>
  </si>
  <si>
    <t>Products</t>
  </si>
  <si>
    <t>Suppliers</t>
  </si>
  <si>
    <t>XPforNextLevel</t>
  </si>
  <si>
    <t>fieldRewardCount</t>
  </si>
  <si>
    <t>gemsRewardCount</t>
  </si>
  <si>
    <t>Hayday</t>
  </si>
  <si>
    <t>Nearest 10</t>
  </si>
  <si>
    <t>-</t>
  </si>
  <si>
    <t>exp value</t>
  </si>
  <si>
    <t>Sr. No.</t>
  </si>
  <si>
    <t>Value Output</t>
  </si>
  <si>
    <t>Indigo</t>
  </si>
  <si>
    <t>Pumpkin</t>
  </si>
  <si>
    <t>Cotton</t>
  </si>
  <si>
    <t>Chili Pepper</t>
  </si>
  <si>
    <t>Potatoes</t>
  </si>
  <si>
    <t>Tomato</t>
  </si>
  <si>
    <t>Strawberries</t>
  </si>
  <si>
    <t>levelID</t>
  </si>
  <si>
    <t>buildingUnlockID</t>
  </si>
  <si>
    <t>desc</t>
  </si>
  <si>
    <t>grow crops</t>
  </si>
  <si>
    <t>cost</t>
  </si>
  <si>
    <t>deployTime</t>
  </si>
  <si>
    <t>slotsUnlocked</t>
  </si>
  <si>
    <t>limit</t>
  </si>
  <si>
    <t>Production buildings</t>
  </si>
  <si>
    <t>Bread</t>
  </si>
  <si>
    <t>itemUnlockID</t>
  </si>
  <si>
    <t>itemRewardCount</t>
  </si>
  <si>
    <t>CornBread</t>
  </si>
  <si>
    <t>ChiliPepper</t>
  </si>
  <si>
    <t>Potato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</si>
</sst>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onsolas"/>
      <family val="3"/>
    </font>
    <font>
      <sz val="11"/>
      <color theme="0" tint="-0.249977111117893"/>
      <name val="Calibri"/>
      <family val="2"/>
      <scheme val="minor"/>
    </font>
    <font>
      <sz val="11"/>
      <color theme="5" tint="0.59999389629810485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Fill="1"/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applyFont="1" applyBorder="1"/>
    <xf numFmtId="0" fontId="0" fillId="0" borderId="0" xfId="0" applyFont="1"/>
    <xf numFmtId="0" fontId="0" fillId="0" borderId="0" xfId="0" applyFont="1" applyFill="1" applyAlignment="1">
      <alignment horizontal="left"/>
    </xf>
    <xf numFmtId="0" fontId="0" fillId="0" borderId="0" xfId="0" applyFont="1" applyFill="1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 applyFill="1"/>
    <xf numFmtId="0" fontId="3" fillId="0" borderId="0" xfId="0" applyFont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Alignment="1">
      <alignment horizontal="left"/>
    </xf>
    <xf numFmtId="1" fontId="0" fillId="0" borderId="0" xfId="0" applyNumberFormat="1"/>
    <xf numFmtId="0" fontId="4" fillId="0" borderId="0" xfId="0" applyFont="1" applyAlignment="1">
      <alignment horizontal="left"/>
    </xf>
    <xf numFmtId="1" fontId="4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left"/>
    </xf>
    <xf numFmtId="0" fontId="5" fillId="0" borderId="0" xfId="0" applyFont="1" applyFill="1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3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13"/>
  <sheetViews>
    <sheetView tabSelected="1" zoomScale="115" zoomScaleNormal="115" workbookViewId="0">
      <pane ySplit="1" topLeftCell="A2" activePane="bottomLeft" state="frozen"/>
      <selection pane="bottomLeft" activeCell="I21" sqref="I21"/>
    </sheetView>
  </sheetViews>
  <sheetFormatPr defaultColWidth="4.140625" defaultRowHeight="15" x14ac:dyDescent="0.25"/>
  <cols>
    <col min="1" max="1" width="3.42578125" style="1" bestFit="1" customWidth="1"/>
    <col min="2" max="2" width="11.85546875" style="14" bestFit="1" customWidth="1"/>
    <col min="3" max="3" width="12" style="14" bestFit="1" customWidth="1"/>
    <col min="4" max="4" width="14.5703125" style="25" bestFit="1" customWidth="1"/>
    <col min="5" max="5" width="19.5703125" style="25" bestFit="1" customWidth="1"/>
    <col min="6" max="6" width="3.28515625" style="25" bestFit="1" customWidth="1"/>
    <col min="7" max="7" width="6" style="25" bestFit="1" customWidth="1"/>
    <col min="8" max="8" width="11.5703125" style="25" customWidth="1"/>
    <col min="9" max="9" width="9.28515625" style="25" customWidth="1"/>
    <col min="10" max="10" width="13.140625" style="25" bestFit="1" customWidth="1"/>
    <col min="11" max="11" width="8.42578125" style="25" bestFit="1" customWidth="1"/>
    <col min="12" max="12" width="13.85546875" style="25" bestFit="1" customWidth="1"/>
    <col min="13" max="13" width="8.42578125" style="25" bestFit="1" customWidth="1"/>
    <col min="14" max="14" width="13.85546875" style="25" bestFit="1" customWidth="1"/>
    <col min="15" max="15" width="8.42578125" style="25" bestFit="1" customWidth="1"/>
    <col min="16" max="16" width="13.85546875" style="25" bestFit="1" customWidth="1"/>
    <col min="17" max="17" width="8.42578125" style="25" bestFit="1" customWidth="1"/>
    <col min="18" max="18" width="13.85546875" style="25" bestFit="1" customWidth="1"/>
  </cols>
  <sheetData>
    <row r="1" spans="1:18" x14ac:dyDescent="0.25">
      <c r="A1" t="s">
        <v>5</v>
      </c>
      <c r="B1" t="s">
        <v>6</v>
      </c>
      <c r="C1" t="s">
        <v>7</v>
      </c>
      <c r="D1" s="26" t="s">
        <v>8</v>
      </c>
      <c r="E1" s="26" t="s">
        <v>9</v>
      </c>
      <c r="F1" s="26" t="s">
        <v>10</v>
      </c>
      <c r="G1" s="26" t="s">
        <v>11</v>
      </c>
      <c r="H1" s="26" t="s">
        <v>12</v>
      </c>
      <c r="I1" s="26" t="s">
        <v>13</v>
      </c>
      <c r="J1" s="26" t="s">
        <v>14</v>
      </c>
      <c r="K1" s="26" t="s">
        <v>15</v>
      </c>
      <c r="L1" s="26" t="s">
        <v>16</v>
      </c>
      <c r="M1" s="26" t="s">
        <v>17</v>
      </c>
      <c r="N1" s="26" t="s">
        <v>18</v>
      </c>
      <c r="O1" s="26" t="s">
        <v>19</v>
      </c>
      <c r="P1" s="26" t="s">
        <v>20</v>
      </c>
      <c r="Q1" s="26" t="s">
        <v>21</v>
      </c>
      <c r="R1" s="26" t="s">
        <v>22</v>
      </c>
    </row>
    <row r="2" spans="1:18" x14ac:dyDescent="0.25">
      <c r="A2">
        <v>0</v>
      </c>
      <c r="B2" t="s">
        <v>25</v>
      </c>
      <c r="C2" t="s">
        <v>2</v>
      </c>
      <c r="D2" s="26">
        <v>0</v>
      </c>
      <c r="E2" s="26">
        <v>0.2</v>
      </c>
      <c r="F2" s="26">
        <v>5</v>
      </c>
      <c r="G2" s="26" t="s">
        <v>63</v>
      </c>
      <c r="H2" s="26">
        <v>2</v>
      </c>
      <c r="I2" s="26" t="s">
        <v>42</v>
      </c>
      <c r="J2" s="26">
        <v>3</v>
      </c>
      <c r="K2" s="26">
        <v>0</v>
      </c>
      <c r="L2" s="26">
        <v>1</v>
      </c>
      <c r="M2" s="26">
        <v>-1</v>
      </c>
      <c r="N2" s="26">
        <v>0</v>
      </c>
      <c r="O2" s="26">
        <v>-1</v>
      </c>
      <c r="P2" s="26">
        <v>0</v>
      </c>
      <c r="Q2" s="26">
        <v>-1</v>
      </c>
      <c r="R2" s="26">
        <v>0</v>
      </c>
    </row>
    <row r="3" spans="1:18" x14ac:dyDescent="0.25">
      <c r="A3">
        <v>1</v>
      </c>
      <c r="B3" t="s">
        <v>26</v>
      </c>
      <c r="C3" t="s">
        <v>2</v>
      </c>
      <c r="D3" s="26">
        <v>1</v>
      </c>
      <c r="E3" s="26">
        <v>0.2</v>
      </c>
      <c r="F3" s="26">
        <v>10</v>
      </c>
      <c r="G3" s="26" t="s">
        <v>63</v>
      </c>
      <c r="H3" s="26">
        <v>3</v>
      </c>
      <c r="I3" s="26" t="s">
        <v>42</v>
      </c>
      <c r="J3" s="26">
        <v>7</v>
      </c>
      <c r="K3" s="26">
        <v>1</v>
      </c>
      <c r="L3" s="26">
        <v>1</v>
      </c>
      <c r="M3" s="26">
        <v>-1</v>
      </c>
      <c r="N3" s="26">
        <v>0</v>
      </c>
      <c r="O3" s="26">
        <v>-1</v>
      </c>
      <c r="P3" s="26">
        <v>0</v>
      </c>
      <c r="Q3" s="26">
        <v>-1</v>
      </c>
      <c r="R3" s="26">
        <v>0</v>
      </c>
    </row>
    <row r="4" spans="1:18" x14ac:dyDescent="0.25">
      <c r="A4">
        <v>2</v>
      </c>
      <c r="B4" t="s">
        <v>91</v>
      </c>
      <c r="C4" t="s">
        <v>2</v>
      </c>
      <c r="D4" s="26">
        <v>2</v>
      </c>
      <c r="E4" s="26">
        <v>0.2</v>
      </c>
      <c r="F4" s="26">
        <v>20</v>
      </c>
      <c r="G4" s="26" t="s">
        <v>63</v>
      </c>
      <c r="H4" s="26">
        <v>4</v>
      </c>
      <c r="I4" s="26" t="s">
        <v>31</v>
      </c>
      <c r="J4" s="26">
        <v>7</v>
      </c>
      <c r="K4" s="26">
        <v>0</v>
      </c>
      <c r="L4" s="26">
        <v>3</v>
      </c>
      <c r="M4" s="26">
        <v>-1</v>
      </c>
      <c r="N4" s="26">
        <v>0</v>
      </c>
      <c r="O4" s="26">
        <v>-1</v>
      </c>
      <c r="P4" s="26">
        <v>0</v>
      </c>
      <c r="Q4" s="26">
        <v>-1</v>
      </c>
      <c r="R4" s="26">
        <v>0</v>
      </c>
    </row>
    <row r="5" spans="1:18" x14ac:dyDescent="0.25">
      <c r="A5">
        <v>3</v>
      </c>
      <c r="B5" t="s">
        <v>94</v>
      </c>
      <c r="C5" t="s">
        <v>2</v>
      </c>
      <c r="D5" s="26">
        <v>3</v>
      </c>
      <c r="E5" s="26">
        <v>0.2</v>
      </c>
      <c r="F5" s="26">
        <v>10</v>
      </c>
      <c r="G5" s="26" t="s">
        <v>63</v>
      </c>
      <c r="H5" s="26">
        <v>5</v>
      </c>
      <c r="I5" s="26" t="s">
        <v>31</v>
      </c>
      <c r="J5" s="26">
        <v>10</v>
      </c>
      <c r="K5" s="26">
        <v>0</v>
      </c>
      <c r="L5" s="26">
        <v>2</v>
      </c>
      <c r="M5" s="26">
        <v>1</v>
      </c>
      <c r="N5" s="26">
        <v>3</v>
      </c>
      <c r="O5" s="26">
        <v>-1</v>
      </c>
      <c r="P5" s="26">
        <v>0</v>
      </c>
      <c r="Q5" s="26">
        <v>-1</v>
      </c>
      <c r="R5" s="26">
        <v>0</v>
      </c>
    </row>
    <row r="6" spans="1:18" x14ac:dyDescent="0.25">
      <c r="A6">
        <v>4</v>
      </c>
      <c r="B6" t="s">
        <v>27</v>
      </c>
      <c r="C6" t="s">
        <v>2</v>
      </c>
      <c r="D6" s="26">
        <v>4</v>
      </c>
      <c r="E6" s="26">
        <v>0.2</v>
      </c>
      <c r="F6" s="26">
        <v>30</v>
      </c>
      <c r="G6" s="26" t="s">
        <v>63</v>
      </c>
      <c r="H6" s="26">
        <v>4</v>
      </c>
      <c r="I6" s="26" t="s">
        <v>42</v>
      </c>
      <c r="J6" s="26">
        <v>14</v>
      </c>
      <c r="K6" s="26">
        <v>4</v>
      </c>
      <c r="L6" s="26">
        <v>1</v>
      </c>
      <c r="M6" s="26">
        <v>-1</v>
      </c>
      <c r="N6" s="26">
        <v>0</v>
      </c>
      <c r="O6" s="26">
        <v>-1</v>
      </c>
      <c r="P6" s="26">
        <v>0</v>
      </c>
      <c r="Q6" s="26">
        <v>-1</v>
      </c>
      <c r="R6" s="26">
        <v>0</v>
      </c>
    </row>
    <row r="7" spans="1:18" x14ac:dyDescent="0.25">
      <c r="A7">
        <v>5</v>
      </c>
      <c r="B7" t="s">
        <v>28</v>
      </c>
      <c r="C7" t="s">
        <v>2</v>
      </c>
      <c r="D7" s="26">
        <v>5</v>
      </c>
      <c r="E7" s="26">
        <v>0.2</v>
      </c>
      <c r="F7" s="26">
        <v>30</v>
      </c>
      <c r="G7" s="26" t="s">
        <v>63</v>
      </c>
      <c r="H7" s="26">
        <v>4</v>
      </c>
      <c r="I7" s="26" t="s">
        <v>42</v>
      </c>
      <c r="J7" s="26">
        <v>35</v>
      </c>
      <c r="K7" s="26">
        <v>5</v>
      </c>
      <c r="L7" s="26">
        <v>1</v>
      </c>
      <c r="M7" s="26">
        <v>-1</v>
      </c>
      <c r="N7" s="26">
        <v>0</v>
      </c>
      <c r="O7" s="26">
        <v>-1</v>
      </c>
      <c r="P7" s="26">
        <v>0</v>
      </c>
      <c r="Q7" s="26">
        <v>-1</v>
      </c>
      <c r="R7" s="26">
        <v>0</v>
      </c>
    </row>
    <row r="8" spans="1:18" x14ac:dyDescent="0.25">
      <c r="A8">
        <v>6</v>
      </c>
      <c r="B8" t="s">
        <v>75</v>
      </c>
      <c r="C8" t="s">
        <v>2</v>
      </c>
      <c r="D8" s="26">
        <v>6</v>
      </c>
      <c r="E8" s="26">
        <v>0.2</v>
      </c>
      <c r="F8" s="26">
        <v>30</v>
      </c>
      <c r="G8" s="26" t="s">
        <v>63</v>
      </c>
      <c r="H8" s="26">
        <v>4</v>
      </c>
      <c r="I8" s="26" t="s">
        <v>42</v>
      </c>
      <c r="J8" s="26">
        <v>32</v>
      </c>
      <c r="K8" s="26">
        <v>6</v>
      </c>
      <c r="L8" s="26">
        <v>1</v>
      </c>
      <c r="M8" s="26">
        <v>-1</v>
      </c>
      <c r="N8" s="26">
        <v>0</v>
      </c>
      <c r="O8" s="26">
        <v>-1</v>
      </c>
      <c r="P8" s="26">
        <v>0</v>
      </c>
      <c r="Q8" s="26">
        <v>-1</v>
      </c>
      <c r="R8" s="26">
        <v>0</v>
      </c>
    </row>
    <row r="9" spans="1:18" x14ac:dyDescent="0.25">
      <c r="A9">
        <v>7</v>
      </c>
      <c r="B9" t="s">
        <v>76</v>
      </c>
      <c r="C9" t="s">
        <v>2</v>
      </c>
      <c r="D9" s="26">
        <v>7</v>
      </c>
      <c r="E9" s="26">
        <v>0.2</v>
      </c>
      <c r="F9" s="26">
        <v>30</v>
      </c>
      <c r="G9" s="26" t="s">
        <v>63</v>
      </c>
      <c r="H9" s="26">
        <v>4</v>
      </c>
      <c r="I9" s="26" t="s">
        <v>42</v>
      </c>
      <c r="J9" s="26">
        <v>28</v>
      </c>
      <c r="K9" s="26">
        <v>7</v>
      </c>
      <c r="L9" s="26">
        <v>1</v>
      </c>
      <c r="M9" s="26">
        <v>-1</v>
      </c>
      <c r="N9" s="26">
        <v>0</v>
      </c>
      <c r="O9" s="26">
        <v>-1</v>
      </c>
      <c r="P9" s="26">
        <v>0</v>
      </c>
      <c r="Q9" s="26">
        <v>-1</v>
      </c>
      <c r="R9" s="26">
        <v>0</v>
      </c>
    </row>
    <row r="10" spans="1:18" x14ac:dyDescent="0.25">
      <c r="A10">
        <v>8</v>
      </c>
      <c r="B10" t="s">
        <v>77</v>
      </c>
      <c r="C10" t="s">
        <v>2</v>
      </c>
      <c r="D10" s="26">
        <v>8</v>
      </c>
      <c r="E10" s="26">
        <v>0.2</v>
      </c>
      <c r="F10" s="26">
        <v>30</v>
      </c>
      <c r="G10" s="26" t="s">
        <v>63</v>
      </c>
      <c r="H10" s="26">
        <v>4</v>
      </c>
      <c r="I10" s="26" t="s">
        <v>42</v>
      </c>
      <c r="J10" s="26">
        <v>36</v>
      </c>
      <c r="K10" s="26">
        <v>8</v>
      </c>
      <c r="L10" s="26">
        <v>1</v>
      </c>
      <c r="M10" s="26">
        <v>-1</v>
      </c>
      <c r="N10" s="26">
        <v>0</v>
      </c>
      <c r="O10" s="26">
        <v>-1</v>
      </c>
      <c r="P10" s="26">
        <v>0</v>
      </c>
      <c r="Q10" s="26">
        <v>-1</v>
      </c>
      <c r="R10" s="26">
        <v>0</v>
      </c>
    </row>
    <row r="11" spans="1:18" x14ac:dyDescent="0.25">
      <c r="A11">
        <v>9</v>
      </c>
      <c r="B11" t="s">
        <v>95</v>
      </c>
      <c r="C11" t="s">
        <v>2</v>
      </c>
      <c r="D11" s="26">
        <v>9</v>
      </c>
      <c r="E11" s="26">
        <v>0.2</v>
      </c>
      <c r="F11" s="26">
        <v>30</v>
      </c>
      <c r="G11" s="26" t="s">
        <v>63</v>
      </c>
      <c r="H11" s="26">
        <v>4</v>
      </c>
      <c r="I11" s="26" t="s">
        <v>42</v>
      </c>
      <c r="J11" s="26">
        <v>36</v>
      </c>
      <c r="K11" s="26">
        <v>9</v>
      </c>
      <c r="L11" s="26">
        <v>1</v>
      </c>
      <c r="M11" s="26">
        <v>-1</v>
      </c>
      <c r="N11" s="26">
        <v>0</v>
      </c>
      <c r="O11" s="26">
        <v>-1</v>
      </c>
      <c r="P11" s="26">
        <v>0</v>
      </c>
      <c r="Q11" s="26">
        <v>-1</v>
      </c>
      <c r="R11" s="26">
        <v>0</v>
      </c>
    </row>
    <row r="12" spans="1:18" x14ac:dyDescent="0.25">
      <c r="A12">
        <v>10</v>
      </c>
      <c r="B12" t="s">
        <v>96</v>
      </c>
      <c r="C12" t="s">
        <v>2</v>
      </c>
      <c r="D12" s="26">
        <v>10</v>
      </c>
      <c r="E12" s="26">
        <v>0.2</v>
      </c>
      <c r="F12" s="26">
        <v>30</v>
      </c>
      <c r="G12" s="26" t="s">
        <v>63</v>
      </c>
      <c r="H12" s="26">
        <v>4</v>
      </c>
      <c r="I12" s="26" t="s">
        <v>42</v>
      </c>
      <c r="J12" s="26">
        <v>43</v>
      </c>
      <c r="K12" s="26">
        <v>10</v>
      </c>
      <c r="L12" s="26">
        <v>1</v>
      </c>
      <c r="M12" s="26">
        <v>-1</v>
      </c>
      <c r="N12" s="26">
        <v>0</v>
      </c>
      <c r="O12" s="26">
        <v>-1</v>
      </c>
      <c r="P12" s="26">
        <v>0</v>
      </c>
      <c r="Q12" s="26">
        <v>-1</v>
      </c>
      <c r="R12" s="26">
        <v>0</v>
      </c>
    </row>
    <row r="13" spans="1:18" x14ac:dyDescent="0.25">
      <c r="A13">
        <v>11</v>
      </c>
      <c r="B13" t="s">
        <v>80</v>
      </c>
      <c r="C13" t="s">
        <v>2</v>
      </c>
      <c r="D13" s="26">
        <v>11</v>
      </c>
      <c r="E13" s="26">
        <v>0.2</v>
      </c>
      <c r="F13" s="26">
        <v>30</v>
      </c>
      <c r="G13" s="26" t="s">
        <v>63</v>
      </c>
      <c r="H13" s="26">
        <v>4</v>
      </c>
      <c r="I13" s="26" t="s">
        <v>42</v>
      </c>
      <c r="J13" s="26">
        <v>50</v>
      </c>
      <c r="K13" s="26">
        <v>11</v>
      </c>
      <c r="L13" s="26">
        <v>1</v>
      </c>
      <c r="M13" s="26">
        <v>-1</v>
      </c>
      <c r="N13" s="26">
        <v>0</v>
      </c>
      <c r="O13" s="26">
        <v>-1</v>
      </c>
      <c r="P13" s="26">
        <v>0</v>
      </c>
      <c r="Q13" s="26">
        <v>-1</v>
      </c>
      <c r="R13" s="26">
        <v>0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ZConfig!$B$4:$B$7</xm:f>
          </x14:formula1>
          <xm:sqref>G2:G50</xm:sqref>
        </x14:dataValidation>
        <x14:dataValidation type="list" allowBlank="1" showInputMessage="1" showErrorMessage="1">
          <x14:formula1>
            <xm:f>ZConfig!$A$4:$A$35</xm:f>
          </x14:formula1>
          <xm:sqref>I2:I50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zoomScale="145" zoomScaleNormal="145" workbookViewId="0">
      <selection activeCell="E12" activeCellId="1" sqref="C14 E12"/>
    </sheetView>
  </sheetViews>
  <sheetFormatPr defaultRowHeight="15" x14ac:dyDescent="0.25"/>
  <cols>
    <col min="1" max="1" width="3" bestFit="1" customWidth="1"/>
    <col min="2" max="2" width="12.28515625" bestFit="1" customWidth="1"/>
    <col min="3" max="3" width="19.5703125" bestFit="1" customWidth="1"/>
    <col min="4" max="4" width="9.140625" bestFit="1" customWidth="1"/>
    <col min="5" max="5" width="5.42578125" bestFit="1" customWidth="1"/>
    <col min="6" max="6" width="11.5703125" bestFit="1" customWidth="1"/>
    <col min="7" max="7" width="13.5703125" bestFit="1" customWidth="1"/>
    <col min="8" max="8" width="5.140625" bestFit="1" customWidth="1"/>
  </cols>
  <sheetData>
    <row r="1" spans="1:8" x14ac:dyDescent="0.25">
      <c r="A1" t="s">
        <v>5</v>
      </c>
      <c r="B1" t="s">
        <v>6</v>
      </c>
      <c r="C1" t="s">
        <v>84</v>
      </c>
      <c r="D1" t="s">
        <v>11</v>
      </c>
      <c r="E1" t="s">
        <v>86</v>
      </c>
      <c r="F1" t="s">
        <v>87</v>
      </c>
      <c r="G1" t="s">
        <v>88</v>
      </c>
      <c r="H1" t="s">
        <v>89</v>
      </c>
    </row>
    <row r="2" spans="1:8" x14ac:dyDescent="0.25">
      <c r="A2">
        <v>0</v>
      </c>
      <c r="B2" t="s">
        <v>42</v>
      </c>
      <c r="C2" t="s">
        <v>85</v>
      </c>
      <c r="D2" t="s">
        <v>63</v>
      </c>
      <c r="E2">
        <v>5</v>
      </c>
      <c r="F2">
        <v>0.1</v>
      </c>
      <c r="G2">
        <v>-1</v>
      </c>
      <c r="H2">
        <v>6</v>
      </c>
    </row>
    <row r="3" spans="1:8" x14ac:dyDescent="0.25">
      <c r="A3">
        <v>1</v>
      </c>
      <c r="B3" t="s">
        <v>31</v>
      </c>
      <c r="C3" t="s">
        <v>90</v>
      </c>
      <c r="D3" t="s">
        <v>64</v>
      </c>
      <c r="E3">
        <v>20</v>
      </c>
      <c r="F3">
        <v>0.1</v>
      </c>
      <c r="G3">
        <v>2</v>
      </c>
      <c r="H3">
        <v>1</v>
      </c>
    </row>
    <row r="4" spans="1:8" x14ac:dyDescent="0.25">
      <c r="A4">
        <v>2</v>
      </c>
      <c r="B4" t="s">
        <v>41</v>
      </c>
      <c r="C4" t="s">
        <v>90</v>
      </c>
      <c r="D4" t="s">
        <v>64</v>
      </c>
      <c r="E4">
        <v>50</v>
      </c>
      <c r="F4">
        <v>0.4</v>
      </c>
      <c r="G4">
        <v>3</v>
      </c>
      <c r="H4">
        <v>1</v>
      </c>
    </row>
    <row r="5" spans="1:8" x14ac:dyDescent="0.25">
      <c r="A5">
        <v>3</v>
      </c>
      <c r="B5" t="s">
        <v>40</v>
      </c>
      <c r="C5" t="s">
        <v>90</v>
      </c>
      <c r="D5" t="s">
        <v>64</v>
      </c>
      <c r="E5">
        <v>50</v>
      </c>
      <c r="F5">
        <v>160</v>
      </c>
      <c r="G5">
        <v>2</v>
      </c>
      <c r="H5">
        <v>1</v>
      </c>
    </row>
    <row r="6" spans="1:8" x14ac:dyDescent="0.25">
      <c r="A6">
        <v>4</v>
      </c>
      <c r="B6" t="s">
        <v>61</v>
      </c>
      <c r="C6" t="s">
        <v>90</v>
      </c>
      <c r="D6" t="s">
        <v>64</v>
      </c>
      <c r="E6">
        <v>350</v>
      </c>
      <c r="F6">
        <v>360</v>
      </c>
      <c r="G6">
        <v>2</v>
      </c>
      <c r="H6">
        <v>1</v>
      </c>
    </row>
    <row r="7" spans="1:8" x14ac:dyDescent="0.25">
      <c r="A7">
        <v>5</v>
      </c>
      <c r="B7" t="s">
        <v>56</v>
      </c>
      <c r="C7" t="s">
        <v>90</v>
      </c>
      <c r="D7" t="s">
        <v>64</v>
      </c>
      <c r="E7">
        <v>650</v>
      </c>
      <c r="F7">
        <v>480</v>
      </c>
      <c r="G7">
        <v>2</v>
      </c>
      <c r="H7">
        <v>1</v>
      </c>
    </row>
    <row r="8" spans="1:8" x14ac:dyDescent="0.25">
      <c r="A8">
        <v>6</v>
      </c>
      <c r="B8" t="s">
        <v>32</v>
      </c>
      <c r="C8" t="s">
        <v>90</v>
      </c>
      <c r="D8" t="s">
        <v>64</v>
      </c>
      <c r="E8">
        <v>730</v>
      </c>
      <c r="F8">
        <v>480</v>
      </c>
      <c r="G8">
        <v>2</v>
      </c>
      <c r="H8">
        <v>1</v>
      </c>
    </row>
    <row r="9" spans="1:8" x14ac:dyDescent="0.25">
      <c r="A9">
        <v>7</v>
      </c>
      <c r="B9" t="s">
        <v>54</v>
      </c>
      <c r="C9" t="s">
        <v>90</v>
      </c>
      <c r="D9" t="s">
        <v>64</v>
      </c>
      <c r="E9">
        <v>2200</v>
      </c>
      <c r="F9">
        <v>720</v>
      </c>
      <c r="G9">
        <v>2</v>
      </c>
      <c r="H9">
        <v>1</v>
      </c>
    </row>
    <row r="10" spans="1:8" x14ac:dyDescent="0.25">
      <c r="A10">
        <v>8</v>
      </c>
      <c r="B10" t="s">
        <v>50</v>
      </c>
      <c r="C10" t="s">
        <v>90</v>
      </c>
      <c r="D10" t="s">
        <v>64</v>
      </c>
      <c r="E10">
        <v>3200</v>
      </c>
      <c r="F10">
        <v>1440</v>
      </c>
      <c r="G10">
        <v>2</v>
      </c>
      <c r="H10">
        <v>1</v>
      </c>
    </row>
  </sheetData>
  <pageMargins left="0.7" right="0.7" top="0.75" bottom="0.75" header="0.3" footer="0.3"/>
  <pageSetup orientation="portrait" horizontalDpi="4294967293" vertic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ZConfig!$A$4:$A$35</xm:f>
          </x14:formula1>
          <xm:sqref>B2:B100</xm:sqref>
        </x14:dataValidation>
        <x14:dataValidation type="list" allowBlank="1" showInputMessage="1" showErrorMessage="1">
          <x14:formula1>
            <xm:f>ZConfig!$B$4:$B$7</xm:f>
          </x14:formula1>
          <xm:sqref>D2:D100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"/>
  <sheetViews>
    <sheetView zoomScaleNormal="100" workbookViewId="0">
      <selection activeCell="F4" sqref="F4"/>
    </sheetView>
  </sheetViews>
  <sheetFormatPr defaultRowHeight="15" x14ac:dyDescent="0.25"/>
  <cols>
    <col min="2" max="2" width="15" bestFit="1" customWidth="1"/>
    <col min="3" max="3" width="21.85546875" bestFit="1" customWidth="1"/>
    <col min="4" max="4" width="17.28515625" customWidth="1"/>
    <col min="5" max="5" width="18.5703125" bestFit="1" customWidth="1"/>
    <col min="6" max="6" width="20.7109375" customWidth="1"/>
    <col min="7" max="7" width="21.140625" customWidth="1"/>
    <col min="8" max="8" width="18.42578125" bestFit="1" customWidth="1"/>
  </cols>
  <sheetData>
    <row r="1" spans="1:7" x14ac:dyDescent="0.25">
      <c r="A1" t="s">
        <v>82</v>
      </c>
      <c r="B1" t="s">
        <v>66</v>
      </c>
      <c r="C1" s="15" t="s">
        <v>67</v>
      </c>
      <c r="D1" t="s">
        <v>92</v>
      </c>
      <c r="E1" t="s">
        <v>83</v>
      </c>
      <c r="F1" t="s">
        <v>93</v>
      </c>
      <c r="G1" s="15" t="s">
        <v>68</v>
      </c>
    </row>
    <row r="2" spans="1:7" x14ac:dyDescent="0.25">
      <c r="A2">
        <v>0</v>
      </c>
      <c r="B2" s="18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 x14ac:dyDescent="0.25">
      <c r="A3">
        <v>1</v>
      </c>
      <c r="B3" s="18">
        <v>50</v>
      </c>
      <c r="C3">
        <v>-1</v>
      </c>
      <c r="D3">
        <v>0</v>
      </c>
      <c r="E3">
        <v>0</v>
      </c>
      <c r="F3">
        <v>6</v>
      </c>
      <c r="G3">
        <v>5</v>
      </c>
    </row>
    <row r="4" spans="1:7" x14ac:dyDescent="0.25">
      <c r="A4">
        <v>2</v>
      </c>
      <c r="B4" s="18">
        <v>60</v>
      </c>
      <c r="C4">
        <v>2</v>
      </c>
      <c r="D4">
        <v>1</v>
      </c>
      <c r="E4">
        <v>-1</v>
      </c>
      <c r="F4">
        <v>1</v>
      </c>
      <c r="G4">
        <v>5</v>
      </c>
    </row>
    <row r="5" spans="1:7" x14ac:dyDescent="0.25">
      <c r="A5">
        <v>3</v>
      </c>
      <c r="B5" s="18">
        <f>ZConfig!G6</f>
        <v>70</v>
      </c>
      <c r="C5">
        <v>-1</v>
      </c>
      <c r="D5">
        <v>2</v>
      </c>
      <c r="E5">
        <v>1</v>
      </c>
      <c r="F5">
        <v>0</v>
      </c>
      <c r="G5">
        <v>0</v>
      </c>
    </row>
    <row r="6" spans="1:7" x14ac:dyDescent="0.25">
      <c r="A6">
        <v>4</v>
      </c>
      <c r="B6" s="18">
        <f>ZConfig!G7</f>
        <v>130</v>
      </c>
      <c r="C6">
        <v>2</v>
      </c>
      <c r="D6">
        <v>-1</v>
      </c>
      <c r="E6">
        <v>-1</v>
      </c>
      <c r="F6">
        <v>-1</v>
      </c>
      <c r="G6">
        <v>5</v>
      </c>
    </row>
    <row r="7" spans="1:7" x14ac:dyDescent="0.25">
      <c r="A7">
        <v>5</v>
      </c>
      <c r="B7" s="18">
        <f>ZConfig!G8</f>
        <v>220</v>
      </c>
      <c r="C7">
        <v>-1</v>
      </c>
      <c r="D7">
        <v>3</v>
      </c>
      <c r="E7">
        <v>2</v>
      </c>
      <c r="F7">
        <v>4</v>
      </c>
      <c r="G7">
        <v>0</v>
      </c>
    </row>
    <row r="8" spans="1:7" x14ac:dyDescent="0.25">
      <c r="A8">
        <v>6</v>
      </c>
      <c r="B8" s="18">
        <f>ZConfig!G9</f>
        <v>350</v>
      </c>
      <c r="C8">
        <v>2</v>
      </c>
      <c r="D8">
        <v>-1</v>
      </c>
      <c r="E8">
        <v>-1</v>
      </c>
      <c r="F8">
        <v>-1</v>
      </c>
      <c r="G8">
        <v>5</v>
      </c>
    </row>
    <row r="9" spans="1:7" x14ac:dyDescent="0.25">
      <c r="A9">
        <v>7</v>
      </c>
      <c r="B9" s="18">
        <f>ZConfig!G10</f>
        <v>520</v>
      </c>
      <c r="C9">
        <v>-1</v>
      </c>
      <c r="D9">
        <v>4</v>
      </c>
      <c r="E9">
        <v>-1</v>
      </c>
      <c r="F9">
        <v>4</v>
      </c>
      <c r="G9">
        <v>0</v>
      </c>
    </row>
    <row r="10" spans="1:7" x14ac:dyDescent="0.25">
      <c r="A10">
        <v>8</v>
      </c>
      <c r="B10" s="18">
        <f>ZConfig!G11</f>
        <v>730</v>
      </c>
      <c r="C10">
        <v>2</v>
      </c>
      <c r="D10">
        <v>-1</v>
      </c>
      <c r="E10">
        <v>-1</v>
      </c>
      <c r="F10">
        <v>-1</v>
      </c>
      <c r="G10">
        <v>5</v>
      </c>
    </row>
    <row r="11" spans="1:7" x14ac:dyDescent="0.25">
      <c r="A11">
        <v>9</v>
      </c>
      <c r="B11" s="18">
        <f>ZConfig!G12</f>
        <v>1000</v>
      </c>
      <c r="C11">
        <v>-1</v>
      </c>
      <c r="D11">
        <v>5</v>
      </c>
      <c r="E11">
        <v>-1</v>
      </c>
      <c r="F11">
        <v>4</v>
      </c>
      <c r="G11">
        <v>0</v>
      </c>
    </row>
    <row r="12" spans="1:7" x14ac:dyDescent="0.25">
      <c r="A12">
        <v>10</v>
      </c>
      <c r="B12" s="18">
        <f>ZConfig!G13</f>
        <v>1340</v>
      </c>
      <c r="C12">
        <v>2</v>
      </c>
      <c r="D12">
        <v>-1</v>
      </c>
      <c r="E12">
        <v>-1</v>
      </c>
      <c r="F12">
        <v>-1</v>
      </c>
      <c r="G12">
        <v>10</v>
      </c>
    </row>
    <row r="13" spans="1:7" x14ac:dyDescent="0.25">
      <c r="A13">
        <v>11</v>
      </c>
      <c r="B13" s="18">
        <f>ZConfig!G14</f>
        <v>1730</v>
      </c>
      <c r="C13">
        <v>-1</v>
      </c>
      <c r="D13">
        <v>-1</v>
      </c>
      <c r="E13">
        <v>-1</v>
      </c>
      <c r="F13">
        <v>-1</v>
      </c>
      <c r="G13">
        <v>0</v>
      </c>
    </row>
    <row r="14" spans="1:7" x14ac:dyDescent="0.25">
      <c r="A14">
        <v>12</v>
      </c>
      <c r="B14" s="18">
        <f>ZConfig!G15</f>
        <v>2200</v>
      </c>
      <c r="C14">
        <v>2</v>
      </c>
      <c r="D14">
        <v>-1</v>
      </c>
      <c r="E14">
        <v>-1</v>
      </c>
      <c r="F14">
        <v>-1</v>
      </c>
      <c r="G14">
        <v>10</v>
      </c>
    </row>
    <row r="15" spans="1:7" x14ac:dyDescent="0.25">
      <c r="A15">
        <v>13</v>
      </c>
      <c r="B15" s="18">
        <f>ZConfig!G16</f>
        <v>2750</v>
      </c>
      <c r="C15">
        <v>-1</v>
      </c>
      <c r="D15">
        <v>6</v>
      </c>
      <c r="E15">
        <v>-1</v>
      </c>
      <c r="F15">
        <v>4</v>
      </c>
      <c r="G15">
        <v>0</v>
      </c>
    </row>
    <row r="16" spans="1:7" x14ac:dyDescent="0.25">
      <c r="A16">
        <v>14</v>
      </c>
      <c r="B16" s="18">
        <f>ZConfig!G17</f>
        <v>3380</v>
      </c>
      <c r="C16">
        <v>2</v>
      </c>
      <c r="D16">
        <v>-1</v>
      </c>
      <c r="E16">
        <v>-1</v>
      </c>
      <c r="F16">
        <v>-1</v>
      </c>
      <c r="G16">
        <v>10</v>
      </c>
    </row>
    <row r="17" spans="1:7" x14ac:dyDescent="0.25">
      <c r="A17">
        <v>15</v>
      </c>
      <c r="B17" s="18">
        <f>ZConfig!G18</f>
        <v>4100</v>
      </c>
      <c r="C17">
        <v>-1</v>
      </c>
      <c r="D17">
        <v>7</v>
      </c>
      <c r="E17">
        <v>-1</v>
      </c>
      <c r="F17">
        <v>4</v>
      </c>
      <c r="G17">
        <v>0</v>
      </c>
    </row>
    <row r="18" spans="1:7" x14ac:dyDescent="0.25">
      <c r="A18">
        <v>16</v>
      </c>
      <c r="B18" s="18">
        <f>ZConfig!G19</f>
        <v>4920</v>
      </c>
      <c r="C18">
        <v>2</v>
      </c>
      <c r="D18">
        <v>-1</v>
      </c>
      <c r="E18">
        <v>-1</v>
      </c>
      <c r="F18">
        <v>-1</v>
      </c>
      <c r="G18">
        <v>10</v>
      </c>
    </row>
    <row r="19" spans="1:7" x14ac:dyDescent="0.25">
      <c r="A19">
        <v>17</v>
      </c>
      <c r="B19" s="18">
        <f>ZConfig!G20</f>
        <v>5840</v>
      </c>
      <c r="C19">
        <v>-1</v>
      </c>
      <c r="D19">
        <v>8</v>
      </c>
      <c r="E19">
        <v>-1</v>
      </c>
      <c r="F19">
        <v>4</v>
      </c>
      <c r="G19">
        <v>0</v>
      </c>
    </row>
    <row r="20" spans="1:7" x14ac:dyDescent="0.25">
      <c r="A20">
        <v>18</v>
      </c>
      <c r="B20" s="18">
        <f>ZConfig!G21</f>
        <v>6860</v>
      </c>
      <c r="C20">
        <v>2</v>
      </c>
      <c r="D20">
        <v>-1</v>
      </c>
      <c r="E20">
        <v>-1</v>
      </c>
      <c r="F20">
        <v>-1</v>
      </c>
      <c r="G20">
        <v>10</v>
      </c>
    </row>
    <row r="21" spans="1:7" x14ac:dyDescent="0.25">
      <c r="A21">
        <v>19</v>
      </c>
      <c r="B21" s="18">
        <f>ZConfig!G22</f>
        <v>8000</v>
      </c>
      <c r="C21">
        <v>-1</v>
      </c>
      <c r="D21">
        <v>9</v>
      </c>
      <c r="E21">
        <v>-1</v>
      </c>
      <c r="F21">
        <v>4</v>
      </c>
      <c r="G21">
        <v>0</v>
      </c>
    </row>
    <row r="22" spans="1:7" x14ac:dyDescent="0.25">
      <c r="A22">
        <v>20</v>
      </c>
      <c r="B22" s="18">
        <f>ZConfig!G23</f>
        <v>9270</v>
      </c>
      <c r="C22">
        <v>1</v>
      </c>
      <c r="D22">
        <v>-1</v>
      </c>
      <c r="E22">
        <v>-1</v>
      </c>
      <c r="F22">
        <v>-1</v>
      </c>
      <c r="G22">
        <v>15</v>
      </c>
    </row>
    <row r="23" spans="1:7" x14ac:dyDescent="0.25">
      <c r="A23">
        <v>21</v>
      </c>
      <c r="B23" s="18">
        <f>ZConfig!G24</f>
        <v>10650</v>
      </c>
      <c r="C23">
        <v>-1</v>
      </c>
      <c r="D23">
        <v>10</v>
      </c>
      <c r="E23">
        <v>-1</v>
      </c>
      <c r="F23">
        <v>4</v>
      </c>
      <c r="G23">
        <v>0</v>
      </c>
    </row>
    <row r="24" spans="1:7" x14ac:dyDescent="0.25">
      <c r="A24">
        <v>22</v>
      </c>
      <c r="B24" s="18">
        <f>ZConfig!G25</f>
        <v>12170</v>
      </c>
      <c r="C24">
        <v>1</v>
      </c>
      <c r="D24">
        <v>-1</v>
      </c>
      <c r="E24">
        <v>-1</v>
      </c>
      <c r="F24">
        <v>-1</v>
      </c>
      <c r="G24">
        <v>15</v>
      </c>
    </row>
    <row r="25" spans="1:7" x14ac:dyDescent="0.25">
      <c r="A25">
        <v>23</v>
      </c>
      <c r="B25" s="18">
        <f>ZConfig!G26</f>
        <v>13830</v>
      </c>
      <c r="C25">
        <v>-1</v>
      </c>
      <c r="D25">
        <v>11</v>
      </c>
      <c r="E25">
        <v>-1</v>
      </c>
      <c r="F25">
        <v>4</v>
      </c>
      <c r="G25">
        <v>0</v>
      </c>
    </row>
    <row r="26" spans="1:7" x14ac:dyDescent="0.25">
      <c r="A26">
        <v>24</v>
      </c>
      <c r="B26" s="18">
        <f>ZConfig!G27</f>
        <v>15630</v>
      </c>
      <c r="C26">
        <v>1</v>
      </c>
      <c r="D26">
        <v>12</v>
      </c>
      <c r="E26">
        <v>-1</v>
      </c>
      <c r="F26">
        <v>4</v>
      </c>
      <c r="G26">
        <v>15</v>
      </c>
    </row>
  </sheetData>
  <autoFilter ref="A1:G26"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40"/>
  <sheetViews>
    <sheetView workbookViewId="0">
      <selection activeCell="C10" sqref="C10"/>
    </sheetView>
  </sheetViews>
  <sheetFormatPr defaultRowHeight="15" x14ac:dyDescent="0.25"/>
  <cols>
    <col min="1" max="1" width="26.5703125" style="2" bestFit="1" customWidth="1"/>
    <col min="2" max="2" width="13" style="2" customWidth="1"/>
    <col min="3" max="3" width="22.7109375" style="2" customWidth="1"/>
    <col min="4" max="5" width="9.140625" style="2"/>
    <col min="6" max="6" width="12.85546875" style="17" bestFit="1" customWidth="1"/>
    <col min="7" max="7" width="10.42578125" style="2" bestFit="1" customWidth="1"/>
    <col min="8" max="8" width="9.140625" style="2"/>
    <col min="9" max="10" width="9.140625" style="8"/>
    <col min="11" max="11" width="19.5703125" style="8" bestFit="1" customWidth="1"/>
    <col min="12" max="40" width="9.140625" style="8"/>
    <col min="41" max="41" width="57.28515625" style="8" bestFit="1" customWidth="1"/>
    <col min="42" max="16384" width="9.140625" style="8"/>
  </cols>
  <sheetData>
    <row r="1" spans="1:41" x14ac:dyDescent="0.25">
      <c r="A1" s="4" t="s">
        <v>0</v>
      </c>
      <c r="B1" s="2" t="s">
        <v>4</v>
      </c>
      <c r="C1" s="6" t="s">
        <v>71</v>
      </c>
      <c r="D1" s="6"/>
      <c r="E1" s="6"/>
      <c r="F1" s="16"/>
      <c r="G1" s="6"/>
      <c r="H1" s="6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3" t="s">
        <v>1</v>
      </c>
    </row>
    <row r="2" spans="1:41" x14ac:dyDescent="0.25">
      <c r="D2" s="4" t="s">
        <v>72</v>
      </c>
      <c r="E2" s="19" t="s">
        <v>73</v>
      </c>
      <c r="F2" s="20" t="s">
        <v>74</v>
      </c>
      <c r="G2" s="4" t="s">
        <v>70</v>
      </c>
      <c r="I2" s="1" t="s">
        <v>5</v>
      </c>
      <c r="J2" s="1" t="s">
        <v>6</v>
      </c>
      <c r="K2" s="1" t="s">
        <v>7</v>
      </c>
      <c r="L2" s="5" t="s">
        <v>8</v>
      </c>
      <c r="M2" s="5" t="s">
        <v>9</v>
      </c>
      <c r="N2" s="5" t="s">
        <v>10</v>
      </c>
      <c r="AN2" s="12"/>
      <c r="AO2" s="2" t="s">
        <v>3</v>
      </c>
    </row>
    <row r="3" spans="1:41" x14ac:dyDescent="0.25">
      <c r="A3" s="13" t="s">
        <v>24</v>
      </c>
      <c r="B3" s="2" t="s">
        <v>23</v>
      </c>
      <c r="D3" s="4">
        <v>3</v>
      </c>
      <c r="E3" s="19">
        <v>1</v>
      </c>
      <c r="F3" s="20">
        <f>E3^$D$3</f>
        <v>1</v>
      </c>
      <c r="G3" s="21">
        <v>50</v>
      </c>
      <c r="H3" s="22" t="s">
        <v>69</v>
      </c>
      <c r="I3" s="1">
        <v>0</v>
      </c>
      <c r="J3" s="14" t="s">
        <v>25</v>
      </c>
      <c r="K3" s="14" t="s">
        <v>2</v>
      </c>
      <c r="L3" s="5">
        <v>1</v>
      </c>
      <c r="M3" s="5">
        <v>0.1</v>
      </c>
      <c r="N3" s="5">
        <v>1</v>
      </c>
    </row>
    <row r="4" spans="1:41" x14ac:dyDescent="0.25">
      <c r="A4" s="13" t="s">
        <v>30</v>
      </c>
      <c r="B4" s="2" t="s">
        <v>62</v>
      </c>
      <c r="E4" s="19">
        <v>2</v>
      </c>
      <c r="F4" s="20">
        <f t="shared" ref="F4:F27" si="0">E4^$D$3</f>
        <v>8</v>
      </c>
      <c r="G4" s="21">
        <f t="shared" ref="G4:G27" si="1">ROUNDUP(F4, -1)</f>
        <v>10</v>
      </c>
      <c r="H4" s="23">
        <v>7</v>
      </c>
      <c r="I4" s="1">
        <v>1</v>
      </c>
      <c r="J4" s="14" t="s">
        <v>26</v>
      </c>
      <c r="K4" s="14" t="s">
        <v>2</v>
      </c>
      <c r="L4" s="5">
        <v>1</v>
      </c>
      <c r="M4" s="5">
        <v>0.1</v>
      </c>
      <c r="N4" s="5">
        <v>1</v>
      </c>
    </row>
    <row r="5" spans="1:41" x14ac:dyDescent="0.25">
      <c r="A5" s="13" t="s">
        <v>31</v>
      </c>
      <c r="B5" s="2" t="s">
        <v>63</v>
      </c>
      <c r="E5" s="19">
        <v>3</v>
      </c>
      <c r="F5" s="20">
        <f t="shared" si="0"/>
        <v>27</v>
      </c>
      <c r="G5" s="21">
        <f t="shared" si="1"/>
        <v>30</v>
      </c>
      <c r="H5" s="23">
        <v>14</v>
      </c>
      <c r="I5" s="1">
        <v>2</v>
      </c>
      <c r="J5" s="14" t="s">
        <v>29</v>
      </c>
      <c r="K5" s="14" t="s">
        <v>2</v>
      </c>
      <c r="L5" s="5">
        <v>2</v>
      </c>
      <c r="M5" s="5">
        <v>0.1</v>
      </c>
      <c r="N5" s="5">
        <v>2</v>
      </c>
    </row>
    <row r="6" spans="1:41" x14ac:dyDescent="0.25">
      <c r="A6" s="13" t="s">
        <v>32</v>
      </c>
      <c r="B6" s="2" t="s">
        <v>64</v>
      </c>
      <c r="E6" s="19">
        <v>4</v>
      </c>
      <c r="F6" s="20">
        <f t="shared" si="0"/>
        <v>64</v>
      </c>
      <c r="G6" s="21">
        <f t="shared" si="1"/>
        <v>70</v>
      </c>
      <c r="H6" s="23">
        <v>30</v>
      </c>
      <c r="I6" s="1">
        <v>3</v>
      </c>
      <c r="J6" s="14" t="s">
        <v>27</v>
      </c>
      <c r="K6" s="14" t="s">
        <v>2</v>
      </c>
      <c r="L6" s="5">
        <v>3</v>
      </c>
      <c r="M6" s="5">
        <v>0.1</v>
      </c>
      <c r="N6" s="5">
        <v>2</v>
      </c>
    </row>
    <row r="7" spans="1:41" x14ac:dyDescent="0.25">
      <c r="A7" s="13" t="s">
        <v>33</v>
      </c>
      <c r="B7" s="2" t="s">
        <v>65</v>
      </c>
      <c r="E7" s="19">
        <v>5</v>
      </c>
      <c r="F7" s="20">
        <f t="shared" si="0"/>
        <v>125</v>
      </c>
      <c r="G7" s="21">
        <f t="shared" si="1"/>
        <v>130</v>
      </c>
      <c r="H7" s="23">
        <v>50</v>
      </c>
      <c r="I7" s="1">
        <v>4</v>
      </c>
      <c r="J7" s="14" t="s">
        <v>28</v>
      </c>
      <c r="K7" s="14" t="s">
        <v>2</v>
      </c>
      <c r="L7" s="5">
        <v>4</v>
      </c>
      <c r="M7" s="5">
        <v>0.1</v>
      </c>
      <c r="N7" s="5">
        <v>3</v>
      </c>
    </row>
    <row r="8" spans="1:41" s="10" customFormat="1" x14ac:dyDescent="0.25">
      <c r="A8" s="9" t="s">
        <v>34</v>
      </c>
      <c r="B8" s="9"/>
      <c r="C8" s="2"/>
      <c r="D8" s="9"/>
      <c r="E8" s="19">
        <v>6</v>
      </c>
      <c r="F8" s="20">
        <f t="shared" si="0"/>
        <v>216</v>
      </c>
      <c r="G8" s="21">
        <f t="shared" si="1"/>
        <v>220</v>
      </c>
      <c r="H8" s="23">
        <v>220</v>
      </c>
      <c r="I8" s="1">
        <v>5</v>
      </c>
      <c r="J8" s="14" t="s">
        <v>75</v>
      </c>
      <c r="K8" s="14" t="s">
        <v>2</v>
      </c>
      <c r="L8" s="5">
        <v>5</v>
      </c>
      <c r="M8" s="5">
        <v>0.1</v>
      </c>
      <c r="N8" s="5">
        <v>5</v>
      </c>
    </row>
    <row r="9" spans="1:41" x14ac:dyDescent="0.25">
      <c r="A9" s="2" t="s">
        <v>35</v>
      </c>
      <c r="E9" s="19">
        <v>7</v>
      </c>
      <c r="F9" s="20">
        <f t="shared" si="0"/>
        <v>343</v>
      </c>
      <c r="G9" s="21">
        <f t="shared" si="1"/>
        <v>350</v>
      </c>
      <c r="H9" s="24">
        <v>370</v>
      </c>
      <c r="I9" s="1">
        <v>6</v>
      </c>
      <c r="J9" s="14" t="s">
        <v>76</v>
      </c>
      <c r="K9" s="14" t="s">
        <v>2</v>
      </c>
      <c r="L9" s="5">
        <v>6</v>
      </c>
      <c r="M9" s="5">
        <v>0.1</v>
      </c>
      <c r="N9" s="5">
        <v>6</v>
      </c>
    </row>
    <row r="10" spans="1:41" x14ac:dyDescent="0.25">
      <c r="A10" s="2" t="s">
        <v>36</v>
      </c>
      <c r="E10" s="19">
        <v>8</v>
      </c>
      <c r="F10" s="20">
        <f t="shared" si="0"/>
        <v>512</v>
      </c>
      <c r="G10" s="21">
        <f t="shared" si="1"/>
        <v>520</v>
      </c>
      <c r="H10" s="23">
        <v>490</v>
      </c>
      <c r="I10" s="1">
        <v>7</v>
      </c>
      <c r="J10" s="14" t="s">
        <v>77</v>
      </c>
      <c r="K10" s="14" t="s">
        <v>2</v>
      </c>
      <c r="L10" s="5">
        <v>7</v>
      </c>
      <c r="M10" s="5">
        <v>0.1</v>
      </c>
      <c r="N10" s="5">
        <v>6</v>
      </c>
    </row>
    <row r="11" spans="1:41" x14ac:dyDescent="0.25">
      <c r="A11" s="2" t="s">
        <v>37</v>
      </c>
      <c r="E11" s="19">
        <v>9</v>
      </c>
      <c r="F11" s="20">
        <f t="shared" si="0"/>
        <v>729</v>
      </c>
      <c r="G11" s="21">
        <f t="shared" si="1"/>
        <v>730</v>
      </c>
      <c r="H11" s="23">
        <v>790</v>
      </c>
      <c r="I11" s="1">
        <v>8</v>
      </c>
      <c r="J11" s="14" t="s">
        <v>78</v>
      </c>
      <c r="K11" s="14" t="s">
        <v>2</v>
      </c>
      <c r="L11" s="5">
        <v>8</v>
      </c>
      <c r="M11" s="5">
        <v>0.1</v>
      </c>
      <c r="N11" s="5">
        <v>7</v>
      </c>
    </row>
    <row r="12" spans="1:41" x14ac:dyDescent="0.25">
      <c r="A12" s="2" t="s">
        <v>38</v>
      </c>
      <c r="E12" s="19">
        <v>10</v>
      </c>
      <c r="F12" s="20">
        <f t="shared" si="0"/>
        <v>1000</v>
      </c>
      <c r="G12" s="21">
        <f t="shared" si="1"/>
        <v>1000</v>
      </c>
      <c r="H12" s="23">
        <v>960</v>
      </c>
      <c r="I12" s="1">
        <v>9</v>
      </c>
      <c r="J12" s="14" t="s">
        <v>79</v>
      </c>
      <c r="K12" s="14" t="s">
        <v>2</v>
      </c>
      <c r="L12" s="5">
        <v>9</v>
      </c>
      <c r="M12" s="5">
        <v>0.1</v>
      </c>
      <c r="N12" s="5">
        <v>7</v>
      </c>
    </row>
    <row r="13" spans="1:41" x14ac:dyDescent="0.25">
      <c r="A13" s="13" t="s">
        <v>39</v>
      </c>
      <c r="E13" s="19">
        <v>11</v>
      </c>
      <c r="F13" s="20">
        <f t="shared" si="0"/>
        <v>1331</v>
      </c>
      <c r="G13" s="21">
        <f t="shared" si="1"/>
        <v>1340</v>
      </c>
      <c r="H13" s="23">
        <v>1180</v>
      </c>
      <c r="I13" s="1">
        <v>10</v>
      </c>
      <c r="J13" s="14" t="s">
        <v>80</v>
      </c>
      <c r="K13" s="14" t="s">
        <v>2</v>
      </c>
      <c r="L13" s="5">
        <v>10</v>
      </c>
      <c r="M13" s="5">
        <v>0.1</v>
      </c>
      <c r="N13" s="5">
        <v>8</v>
      </c>
    </row>
    <row r="14" spans="1:41" x14ac:dyDescent="0.25">
      <c r="A14" s="13" t="s">
        <v>40</v>
      </c>
      <c r="E14" s="19">
        <v>12</v>
      </c>
      <c r="F14" s="20">
        <f t="shared" si="0"/>
        <v>1728</v>
      </c>
      <c r="G14" s="21">
        <f t="shared" si="1"/>
        <v>1730</v>
      </c>
      <c r="H14" s="23">
        <v>1550</v>
      </c>
      <c r="I14" s="1">
        <v>11</v>
      </c>
      <c r="J14" s="14" t="s">
        <v>81</v>
      </c>
      <c r="K14" s="14" t="s">
        <v>2</v>
      </c>
      <c r="L14" s="5">
        <v>11</v>
      </c>
      <c r="M14" s="5">
        <v>0.1</v>
      </c>
      <c r="N14" s="5">
        <v>10</v>
      </c>
    </row>
    <row r="15" spans="1:41" x14ac:dyDescent="0.25">
      <c r="A15" s="13" t="s">
        <v>41</v>
      </c>
      <c r="E15" s="19">
        <v>13</v>
      </c>
      <c r="F15" s="20">
        <f t="shared" si="0"/>
        <v>2197</v>
      </c>
      <c r="G15" s="21">
        <f t="shared" si="1"/>
        <v>2200</v>
      </c>
      <c r="H15" s="23">
        <v>1790</v>
      </c>
    </row>
    <row r="16" spans="1:41" x14ac:dyDescent="0.25">
      <c r="A16" s="13" t="s">
        <v>42</v>
      </c>
      <c r="E16" s="19">
        <v>14</v>
      </c>
      <c r="F16" s="20">
        <f t="shared" si="0"/>
        <v>2744</v>
      </c>
      <c r="G16" s="21">
        <f t="shared" si="1"/>
        <v>2750</v>
      </c>
      <c r="H16" s="23">
        <v>2270</v>
      </c>
    </row>
    <row r="17" spans="1:11" x14ac:dyDescent="0.25">
      <c r="A17" s="13" t="s">
        <v>43</v>
      </c>
      <c r="E17" s="19">
        <v>15</v>
      </c>
      <c r="F17" s="20">
        <f t="shared" si="0"/>
        <v>3375</v>
      </c>
      <c r="G17" s="21">
        <f t="shared" si="1"/>
        <v>3380</v>
      </c>
      <c r="H17" s="23">
        <v>2880</v>
      </c>
    </row>
    <row r="18" spans="1:11" x14ac:dyDescent="0.25">
      <c r="A18" s="13" t="s">
        <v>44</v>
      </c>
      <c r="E18" s="19">
        <v>16</v>
      </c>
      <c r="F18" s="20">
        <f t="shared" si="0"/>
        <v>4096</v>
      </c>
      <c r="G18" s="21">
        <f t="shared" si="1"/>
        <v>4100</v>
      </c>
      <c r="H18" s="23">
        <v>3170</v>
      </c>
    </row>
    <row r="19" spans="1:11" x14ac:dyDescent="0.25">
      <c r="A19" s="13" t="s">
        <v>45</v>
      </c>
      <c r="E19" s="19">
        <v>17</v>
      </c>
      <c r="F19" s="20">
        <f t="shared" si="0"/>
        <v>4913</v>
      </c>
      <c r="G19" s="21">
        <f t="shared" si="1"/>
        <v>4920</v>
      </c>
      <c r="H19" s="23">
        <v>4120</v>
      </c>
    </row>
    <row r="20" spans="1:11" x14ac:dyDescent="0.25">
      <c r="A20" s="13" t="s">
        <v>46</v>
      </c>
      <c r="E20" s="19">
        <v>18</v>
      </c>
      <c r="F20" s="20">
        <f t="shared" si="0"/>
        <v>5832</v>
      </c>
      <c r="G20" s="21">
        <f t="shared" si="1"/>
        <v>5840</v>
      </c>
      <c r="H20" s="23">
        <v>4740</v>
      </c>
    </row>
    <row r="21" spans="1:11" x14ac:dyDescent="0.25">
      <c r="A21" s="13" t="s">
        <v>47</v>
      </c>
      <c r="E21" s="19">
        <v>19</v>
      </c>
      <c r="F21" s="20">
        <f t="shared" si="0"/>
        <v>6859</v>
      </c>
      <c r="G21" s="21">
        <f t="shared" si="1"/>
        <v>6860</v>
      </c>
      <c r="H21" s="23">
        <v>5410</v>
      </c>
    </row>
    <row r="22" spans="1:11" x14ac:dyDescent="0.25">
      <c r="A22" s="13" t="s">
        <v>48</v>
      </c>
      <c r="E22" s="19">
        <v>20</v>
      </c>
      <c r="F22" s="20">
        <f t="shared" si="0"/>
        <v>8000</v>
      </c>
      <c r="G22" s="21">
        <f t="shared" si="1"/>
        <v>8000</v>
      </c>
      <c r="H22" s="23">
        <v>6120</v>
      </c>
    </row>
    <row r="23" spans="1:11" x14ac:dyDescent="0.25">
      <c r="A23" s="13" t="s">
        <v>49</v>
      </c>
      <c r="E23" s="19">
        <v>21</v>
      </c>
      <c r="F23" s="20">
        <f t="shared" si="0"/>
        <v>9261</v>
      </c>
      <c r="G23" s="21">
        <f t="shared" si="1"/>
        <v>9270</v>
      </c>
      <c r="H23" s="23">
        <v>7750</v>
      </c>
    </row>
    <row r="24" spans="1:11" x14ac:dyDescent="0.25">
      <c r="A24" s="13" t="s">
        <v>50</v>
      </c>
      <c r="E24" s="19">
        <v>22</v>
      </c>
      <c r="F24" s="20">
        <f t="shared" si="0"/>
        <v>10648</v>
      </c>
      <c r="G24" s="21">
        <f t="shared" si="1"/>
        <v>10650</v>
      </c>
      <c r="H24" s="23">
        <v>9140</v>
      </c>
    </row>
    <row r="25" spans="1:11" x14ac:dyDescent="0.25">
      <c r="A25" s="13" t="s">
        <v>51</v>
      </c>
      <c r="E25" s="19">
        <v>23</v>
      </c>
      <c r="F25" s="20">
        <f t="shared" si="0"/>
        <v>12167</v>
      </c>
      <c r="G25" s="21">
        <f t="shared" si="1"/>
        <v>12170</v>
      </c>
      <c r="H25" s="23">
        <v>10630</v>
      </c>
    </row>
    <row r="26" spans="1:11" x14ac:dyDescent="0.25">
      <c r="A26" s="13" t="s">
        <v>52</v>
      </c>
      <c r="E26" s="19">
        <v>24</v>
      </c>
      <c r="F26" s="20">
        <f t="shared" si="0"/>
        <v>13824</v>
      </c>
      <c r="G26" s="21">
        <f t="shared" si="1"/>
        <v>13830</v>
      </c>
      <c r="H26" s="23">
        <v>12200</v>
      </c>
    </row>
    <row r="27" spans="1:11" x14ac:dyDescent="0.25">
      <c r="A27" s="13" t="s">
        <v>53</v>
      </c>
      <c r="E27" s="19">
        <v>25</v>
      </c>
      <c r="F27" s="20">
        <f t="shared" si="0"/>
        <v>15625</v>
      </c>
      <c r="G27" s="21">
        <f t="shared" si="1"/>
        <v>15630</v>
      </c>
      <c r="H27" s="23">
        <v>13700</v>
      </c>
    </row>
    <row r="28" spans="1:11" x14ac:dyDescent="0.25">
      <c r="A28" s="13" t="s">
        <v>54</v>
      </c>
      <c r="E28" s="19"/>
      <c r="F28" s="20"/>
      <c r="K28" s="15"/>
    </row>
    <row r="29" spans="1:11" x14ac:dyDescent="0.25">
      <c r="A29" s="13" t="s">
        <v>55</v>
      </c>
      <c r="K29" s="15"/>
    </row>
    <row r="30" spans="1:11" x14ac:dyDescent="0.25">
      <c r="A30" s="13" t="s">
        <v>56</v>
      </c>
      <c r="K30" s="15"/>
    </row>
    <row r="31" spans="1:11" x14ac:dyDescent="0.25">
      <c r="A31" s="13" t="s">
        <v>57</v>
      </c>
      <c r="K31" s="15"/>
    </row>
    <row r="32" spans="1:11" x14ac:dyDescent="0.25">
      <c r="A32" s="13" t="s">
        <v>58</v>
      </c>
      <c r="K32" s="15"/>
    </row>
    <row r="33" spans="1:11" x14ac:dyDescent="0.25">
      <c r="A33" s="13" t="s">
        <v>59</v>
      </c>
      <c r="K33" s="15"/>
    </row>
    <row r="34" spans="1:11" x14ac:dyDescent="0.25">
      <c r="A34" s="13" t="s">
        <v>60</v>
      </c>
      <c r="K34" s="15"/>
    </row>
    <row r="35" spans="1:11" x14ac:dyDescent="0.25">
      <c r="A35" s="13" t="s">
        <v>61</v>
      </c>
      <c r="K35" s="15"/>
    </row>
    <row r="36" spans="1:11" x14ac:dyDescent="0.25">
      <c r="A36" s="13"/>
    </row>
    <row r="37" spans="1:11" x14ac:dyDescent="0.25">
      <c r="A37" s="13"/>
    </row>
    <row r="38" spans="1:11" x14ac:dyDescent="0.25">
      <c r="A38" s="13"/>
    </row>
    <row r="39" spans="1:11" x14ac:dyDescent="0.25">
      <c r="A39" s="13"/>
    </row>
    <row r="40" spans="1:11" x14ac:dyDescent="0.25">
      <c r="A40" s="13"/>
    </row>
  </sheetData>
  <conditionalFormatting sqref="A1 A36:AD89 AN1:AO2 C1:AD1 A5:B7 A13:B35 C5:E27 A4:E4 A3:F3 F4:F27 J15:AD27 H3:H27 C2:H2 O2:AD14 C28:J35 L28:AD35">
    <cfRule type="cellIs" dxfId="22" priority="39" stopIfTrue="1" operator="equal">
      <formula>"d1"</formula>
    </cfRule>
    <cfRule type="cellIs" dxfId="21" priority="40" stopIfTrue="1" operator="equal">
      <formula>"d0"</formula>
    </cfRule>
    <cfRule type="cellIs" dxfId="20" priority="41" stopIfTrue="1" operator="equal">
      <formula>"a2"</formula>
    </cfRule>
    <cfRule type="cellIs" dxfId="19" priority="42" stopIfTrue="1" operator="equal">
      <formula>"a1"</formula>
    </cfRule>
    <cfRule type="cellIs" dxfId="18" priority="43" stopIfTrue="1" operator="equal">
      <formula>"a0"</formula>
    </cfRule>
    <cfRule type="cellIs" dxfId="17" priority="44" stopIfTrue="1" operator="equal">
      <formula>"g1"</formula>
    </cfRule>
    <cfRule type="cellIs" dxfId="16" priority="45" stopIfTrue="1" operator="equal">
      <formula>"g0"</formula>
    </cfRule>
  </conditionalFormatting>
  <conditionalFormatting sqref="I2:N13">
    <cfRule type="cellIs" dxfId="15" priority="9" stopIfTrue="1" operator="equal">
      <formula>"d2"</formula>
    </cfRule>
    <cfRule type="cellIs" dxfId="14" priority="10" stopIfTrue="1" operator="equal">
      <formula>"d1"</formula>
    </cfRule>
    <cfRule type="cellIs" dxfId="13" priority="11" stopIfTrue="1" operator="equal">
      <formula>"d0"</formula>
    </cfRule>
    <cfRule type="cellIs" dxfId="12" priority="12" stopIfTrue="1" operator="equal">
      <formula>"a2"</formula>
    </cfRule>
    <cfRule type="cellIs" dxfId="11" priority="13" stopIfTrue="1" operator="equal">
      <formula>"a1"</formula>
    </cfRule>
    <cfRule type="cellIs" dxfId="10" priority="14" stopIfTrue="1" operator="equal">
      <formula>"a0"</formula>
    </cfRule>
    <cfRule type="cellIs" dxfId="9" priority="15" stopIfTrue="1" operator="equal">
      <formula>"g1"</formula>
    </cfRule>
    <cfRule type="cellIs" dxfId="8" priority="16" stopIfTrue="1" operator="equal">
      <formula>"g0"</formula>
    </cfRule>
  </conditionalFormatting>
  <conditionalFormatting sqref="I14:N14">
    <cfRule type="cellIs" dxfId="7" priority="1" stopIfTrue="1" operator="equal">
      <formula>"d2"</formula>
    </cfRule>
    <cfRule type="cellIs" dxfId="6" priority="2" stopIfTrue="1" operator="equal">
      <formula>"d1"</formula>
    </cfRule>
    <cfRule type="cellIs" dxfId="5" priority="3" stopIfTrue="1" operator="equal">
      <formula>"d0"</formula>
    </cfRule>
    <cfRule type="cellIs" dxfId="4" priority="4" stopIfTrue="1" operator="equal">
      <formula>"a2"</formula>
    </cfRule>
    <cfRule type="cellIs" dxfId="3" priority="5" stopIfTrue="1" operator="equal">
      <formula>"a1"</formula>
    </cfRule>
    <cfRule type="cellIs" dxfId="2" priority="6" stopIfTrue="1" operator="equal">
      <formula>"a0"</formula>
    </cfRule>
    <cfRule type="cellIs" dxfId="1" priority="7" stopIfTrue="1" operator="equal">
      <formula>"g1"</formula>
    </cfRule>
    <cfRule type="cellIs" dxfId="0" priority="8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Buildings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2017-05-02T12:09:01Z</cp:lastPrinted>
  <dcterms:created xsi:type="dcterms:W3CDTF">2006-09-16T00:00:00Z</dcterms:created>
  <dcterms:modified xsi:type="dcterms:W3CDTF">2017-11-29T21:38:33Z</dcterms:modified>
</cp:coreProperties>
</file>