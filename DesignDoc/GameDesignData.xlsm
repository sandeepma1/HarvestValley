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895" windowHeight="9930" tabRatio="731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44525"/>
</workbook>
</file>

<file path=xl/sharedStrings.xml><?xml version="1.0" encoding="utf-8"?>
<sst xmlns="http://schemas.openxmlformats.org/spreadsheetml/2006/main" count="114">
  <si>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</si>
  <si>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</si>
  <si>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</si>
  <si>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</si>
  <si>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</si>
  <si>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</si>
  <si>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</si>
  <si>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</si>
  <si>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</si>
  <si>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</si>
  <si>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</si>
  <si>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</si>
  <si>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</si>
  <si>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</si>
  <si>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</si>
  <si>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</si>
  <si>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</si>
  <si>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</si>
  <si>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</si>
  <si>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</si>
  <si>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</si>
  <si>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</si>
  <si>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</si>
  <si>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</si>
  <si>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</si>
  <si>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</si>
  <si>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</si>
  <si>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</si>
  <si>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Bread</t>
  </si>
  <si>
    <t>Products</t>
  </si>
  <si>
    <t>Corn</t>
  </si>
  <si>
    <t>Carrot</t>
  </si>
  <si>
    <t>Green Cabbage</t>
  </si>
  <si>
    <t>Red Cabbage</t>
  </si>
  <si>
    <t>Savoy Cabbage</t>
  </si>
  <si>
    <t>Watermelon</t>
  </si>
  <si>
    <t>Strawberry</t>
  </si>
  <si>
    <t>Pumpkin</t>
  </si>
  <si>
    <t>Chili Pepper</t>
  </si>
  <si>
    <t>Potato</t>
  </si>
  <si>
    <t>Tomato</t>
  </si>
  <si>
    <t>Grass Thin</t>
  </si>
  <si>
    <t>Grass</t>
  </si>
  <si>
    <t>Grass Medium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</si>
  <si>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</si>
  <si>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</si>
  <si>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</si>
  <si>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</si>
  <si>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</si>
  <si>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</si>
  <si>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</si>
  <si>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</si>
  <si>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</si>
  <si>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</si>
  <si>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</si>
  <si>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</si>
  <si>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</si>
  <si>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</si>
  <si>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</si>
  <si>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</si>
  <si>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</si>
  <si>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</si>
  <si>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</si>
  <si>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</si>
  <si>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</si>
  <si>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</si>
  <si>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</si>
  <si>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</si>
  <si>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</si>
  <si>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</si>
  <si>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D:\UNITY\Projects\HarvestValley\Assets\Resources\CSVs</t>
  </si>
  <si>
    <t>-</t>
  </si>
  <si>
    <t>Ignore below rows contains random data</t>
  </si>
  <si>
    <t>D:\UNITY\Projects\HarvestValley</t>
  </si>
  <si>
    <t>C:\GitRepo\HarvestValley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</si>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</sst>
</file>

<file path=xl/styles.xml><?xml version="1.0" encoding="utf-8"?>
<styleSheet xmlns="http://schemas.openxmlformats.org/spreadsheetml/2006/main">
  <numFmts count="4">
    <numFmt numFmtId="176" formatCode="_ * #,##0_ ;_ * \-#,##0_ ;_ * &quot;-&quot;_ ;_ @_ "/>
    <numFmt numFmtId="44" formatCode="_(&quot;$&quot;* #,##0.00_);_(&quot;$&quot;* \(#,##0.00\);_(&quot;$&quot;* &quot;-&quot;??_);_(@_)"/>
    <numFmt numFmtId="42" formatCode="_(&quot;$&quot;* #,##0_);_(&quot;$&quot;* \(#,##0\);_(&quot;$&quot;* &quot;-&quot;_);_(@_)"/>
    <numFmt numFmtId="177" formatCode="_ * #,##0.00_ ;_ * \-#,##0.00_ ;_ * &quot;-&quot;??_ ;_ @_ "/>
  </numFmts>
  <fonts count="25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5"/>
      <name val="Calibri"/>
      <charset val="134"/>
      <scheme val="minor"/>
    </font>
    <font>
      <sz val="11"/>
      <color rgb="FF333333"/>
      <name val="Consolas"/>
      <charset val="134"/>
    </font>
    <font>
      <sz val="11"/>
      <color theme="0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theme="1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rgb="FF9C0006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1"/>
      <color theme="3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sz val="11"/>
      <color rgb="FF006100"/>
      <name val="Calibri"/>
      <charset val="0"/>
      <scheme val="minor"/>
    </font>
    <font>
      <sz val="11"/>
      <color rgb="FF3F3F76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b/>
      <sz val="18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0" fontId="8" fillId="20" borderId="0" applyNumberFormat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176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10" borderId="4" applyNumberFormat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0" fillId="25" borderId="8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9" fillId="0" borderId="1" applyNumberFormat="0" applyFill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1" fillId="24" borderId="3" applyNumberFormat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3" fillId="9" borderId="6" applyNumberFormat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10" fillId="9" borderId="3" applyNumberFormat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</cellStyleXfs>
  <cellXfs count="29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5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</cellXfs>
  <cellStyles count="49">
    <cellStyle name="Normal" xfId="0" builtinId="0"/>
    <cellStyle name="40% - Accent1" xfId="1" builtinId="31"/>
    <cellStyle name="Comma" xfId="2" builtinId="3"/>
    <cellStyle name="Comma [0]" xfId="3" builtinId="6"/>
    <cellStyle name="Currency [0]" xfId="4" builtinId="7"/>
    <cellStyle name="Currency" xfId="5" builtinId="4"/>
    <cellStyle name="Percent" xfId="6" builtinId="5"/>
    <cellStyle name="Check Cell" xfId="7" builtinId="23"/>
    <cellStyle name="Heading 2" xfId="8" builtinId="17"/>
    <cellStyle name="Note" xfId="9" builtinId="10"/>
    <cellStyle name="Hyperlink" xfId="10" builtinId="8"/>
    <cellStyle name="60% - Accent4" xfId="11" builtinId="44"/>
    <cellStyle name="Followed Hyperlink" xfId="12" builtinId="9"/>
    <cellStyle name="40% - Accent3" xfId="13" builtinId="39"/>
    <cellStyle name="Warning Text" xfId="14" builtinId="11"/>
    <cellStyle name="40% - Accent2" xfId="15" builtinId="35"/>
    <cellStyle name="Title" xfId="16" builtinId="15"/>
    <cellStyle name="CExplanatory Text" xfId="17" builtinId="53"/>
    <cellStyle name="Heading 1" xfId="18" builtinId="16"/>
    <cellStyle name="Heading 3" xfId="19" builtinId="18"/>
    <cellStyle name="Heading 4" xfId="20" builtinId="19"/>
    <cellStyle name="Input" xfId="21" builtinId="20"/>
    <cellStyle name="60% - Accent3" xfId="22" builtinId="40"/>
    <cellStyle name="Good" xfId="23" builtinId="26"/>
    <cellStyle name="Output" xfId="24" builtinId="21"/>
    <cellStyle name="20% - Accent1" xfId="25" builtinId="30"/>
    <cellStyle name="Calculation" xfId="26" builtinId="22"/>
    <cellStyle name="Linked Cell" xfId="27" builtinId="24"/>
    <cellStyle name="Total" xfId="28" builtinId="25"/>
    <cellStyle name="Bad" xfId="29" builtinId="27"/>
    <cellStyle name="Neutral" xfId="30" builtinId="28"/>
    <cellStyle name="Accent1" xfId="31" builtinId="29"/>
    <cellStyle name="20% - Accent5" xfId="32" builtinId="46"/>
    <cellStyle name="60% - Accent1" xfId="33" builtinId="32"/>
    <cellStyle name="Accent2" xfId="34" builtinId="33"/>
    <cellStyle name="20% - Accent2" xfId="35" builtinId="34"/>
    <cellStyle name="20% - Accent6" xfId="36" builtinId="50"/>
    <cellStyle name="60% - Accent2" xfId="37" builtinId="36"/>
    <cellStyle name="Accent3" xfId="38" builtinId="37"/>
    <cellStyle name="20% - Accent3" xfId="39" builtinId="38"/>
    <cellStyle name="Accent4" xfId="40" builtinId="41"/>
    <cellStyle name="20% - Accent4" xfId="41" builtinId="42"/>
    <cellStyle name="40% - Accent4" xfId="42" builtinId="43"/>
    <cellStyle name="Accent5" xfId="43" builtinId="45"/>
    <cellStyle name="40% - Accent5" xfId="44" builtinId="47"/>
    <cellStyle name="60% - Accent5" xfId="45" builtinId="48"/>
    <cellStyle name="Accent6" xfId="46" builtinId="49"/>
    <cellStyle name="40% - Accent6" xfId="47" builtinId="51"/>
    <cellStyle name="60% - Accent6" xfId="48" builtinId="52"/>
  </cellStyles>
  <dxfs count="5">
    <dxf>
      <fill>
        <patternFill patternType="solid">
          <bgColor indexed="51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23"/>
        </patternFill>
      </fill>
    </dxf>
  </dxfs>
  <tableStyles count="0" defaultTableStyle="TableStyleMedium2"/>
  <colors>
    <mruColors>
      <color rgb="00AC714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1743075</xdr:colOff>
          <xdr:row>14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790700" y="1628775"/>
              <a:ext cx="1724025" cy="10572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7"/>
  <dimension ref="A1:Y16"/>
  <sheetViews>
    <sheetView tabSelected="1" zoomScale="145" zoomScaleNormal="145" topLeftCell="N1" workbookViewId="0">
      <pane ySplit="1" topLeftCell="A2" activePane="bottomLeft" state="frozen"/>
      <selection/>
      <selection pane="bottomLeft" activeCell="X4" sqref="X4"/>
    </sheetView>
  </sheetViews>
  <sheetFormatPr defaultColWidth="4.14285714285714" defaultRowHeight="15"/>
  <cols>
    <col min="1" max="1" width="3" style="17" customWidth="1"/>
    <col min="2" max="2" width="13.2857142857143" style="19" customWidth="1"/>
    <col min="3" max="3" width="12" style="19" customWidth="1"/>
    <col min="4" max="4" width="14.5714285714286" style="26" customWidth="1"/>
    <col min="5" max="5" width="19.5714285714286" style="26" customWidth="1"/>
    <col min="6" max="6" width="4" style="26" customWidth="1"/>
    <col min="7" max="7" width="10.7428571428571" style="26" customWidth="1"/>
    <col min="8" max="8" width="9.64761904761905" style="26" customWidth="1"/>
    <col min="9" max="10" width="8.71428571428571" style="26" customWidth="1"/>
    <col min="11" max="11" width="13.7142857142857" style="26" customWidth="1"/>
    <col min="12" max="12" width="13.1428571428571" style="26" customWidth="1"/>
    <col min="13" max="13" width="13.4285714285714" style="26" customWidth="1"/>
    <col min="14" max="14" width="12.7142857142857" style="26" customWidth="1"/>
    <col min="15" max="15" width="13.1428571428571" style="26" customWidth="1"/>
    <col min="16" max="16" width="13.5714285714286" style="26" customWidth="1"/>
    <col min="17" max="17" width="8.42857142857143" style="26" customWidth="1"/>
    <col min="18" max="18" width="13.8571428571429" style="26" customWidth="1"/>
    <col min="19" max="19" width="8.42857142857143" style="26" customWidth="1"/>
    <col min="20" max="20" width="13.8571428571429" style="26" customWidth="1"/>
    <col min="21" max="21" width="8.42857142857143" style="26" customWidth="1"/>
    <col min="22" max="22" width="13.8571428571429" style="26" customWidth="1"/>
    <col min="23" max="23" width="8.42857142857143" style="26" customWidth="1"/>
    <col min="24" max="24" width="13.8571428571429" style="26" customWidth="1"/>
    <col min="25" max="25" width="13.8571428571429" style="17" customWidth="1"/>
  </cols>
  <sheetData>
    <row r="1" s="25" customFormat="1" spans="1:25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5" t="s">
        <v>24</v>
      </c>
    </row>
    <row r="2" spans="1:25">
      <c r="A2">
        <v>0</v>
      </c>
      <c r="B2" t="s">
        <v>25</v>
      </c>
      <c r="C2" t="s">
        <v>26</v>
      </c>
      <c r="D2" s="28">
        <v>0</v>
      </c>
      <c r="E2" s="28">
        <v>0.1</v>
      </c>
      <c r="F2" s="28">
        <v>25</v>
      </c>
      <c r="G2" s="28" t="s">
        <v>27</v>
      </c>
      <c r="H2" s="26">
        <v>25</v>
      </c>
      <c r="I2" s="28">
        <v>2</v>
      </c>
      <c r="J2" s="26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t="str">
        <f>LOWER(SUBSTITUTE(TRIM(B2)," ",""))</f>
        <v>wheat</v>
      </c>
    </row>
    <row r="3" spans="1:25">
      <c r="A3">
        <v>1</v>
      </c>
      <c r="B3" t="s">
        <v>28</v>
      </c>
      <c r="C3" t="s">
        <v>26</v>
      </c>
      <c r="D3" s="28">
        <v>1</v>
      </c>
      <c r="E3" s="28">
        <v>0.1</v>
      </c>
      <c r="F3" s="28">
        <v>25</v>
      </c>
      <c r="G3" s="28" t="s">
        <v>29</v>
      </c>
      <c r="H3" s="26">
        <v>26</v>
      </c>
      <c r="I3" s="28">
        <v>3</v>
      </c>
      <c r="J3" s="26">
        <v>2</v>
      </c>
      <c r="K3" s="26">
        <v>-1</v>
      </c>
      <c r="L3" s="26">
        <v>1</v>
      </c>
      <c r="M3" s="26">
        <v>1</v>
      </c>
      <c r="N3" s="26">
        <v>21</v>
      </c>
      <c r="O3" s="28">
        <v>31</v>
      </c>
      <c r="P3" s="26">
        <v>-1</v>
      </c>
      <c r="Q3" s="28">
        <v>0</v>
      </c>
      <c r="R3" s="28">
        <v>2</v>
      </c>
      <c r="S3" s="28">
        <v>-1</v>
      </c>
      <c r="T3" s="28">
        <v>0</v>
      </c>
      <c r="U3" s="28">
        <v>-1</v>
      </c>
      <c r="V3" s="28">
        <v>0</v>
      </c>
      <c r="W3" s="28">
        <v>-1</v>
      </c>
      <c r="X3" s="28">
        <v>0</v>
      </c>
      <c r="Y3" t="str">
        <f>LOWER(SUBSTITUTE(TRIM(B3)," ",""))</f>
        <v>bread</v>
      </c>
    </row>
    <row r="4" spans="1:25">
      <c r="A4">
        <v>2</v>
      </c>
      <c r="B4" t="s">
        <v>30</v>
      </c>
      <c r="C4" t="s">
        <v>26</v>
      </c>
      <c r="D4" s="28">
        <v>2</v>
      </c>
      <c r="E4" s="28">
        <v>0.15</v>
      </c>
      <c r="F4" s="28">
        <v>35</v>
      </c>
      <c r="G4" s="28" t="s">
        <v>27</v>
      </c>
      <c r="H4" s="26">
        <v>26</v>
      </c>
      <c r="I4" s="28">
        <v>3</v>
      </c>
      <c r="J4" s="26">
        <v>0</v>
      </c>
      <c r="K4" s="26">
        <v>4</v>
      </c>
      <c r="L4" s="26">
        <v>2</v>
      </c>
      <c r="M4" s="26">
        <v>4</v>
      </c>
      <c r="N4" s="26">
        <v>21</v>
      </c>
      <c r="O4" s="28">
        <v>31</v>
      </c>
      <c r="P4" s="26">
        <v>3</v>
      </c>
      <c r="Q4" s="28">
        <v>1</v>
      </c>
      <c r="R4" s="28">
        <v>1</v>
      </c>
      <c r="S4" s="28">
        <v>-1</v>
      </c>
      <c r="T4" s="28">
        <v>0</v>
      </c>
      <c r="U4" s="28">
        <v>-1</v>
      </c>
      <c r="V4" s="28">
        <v>0</v>
      </c>
      <c r="W4" s="28">
        <v>-1</v>
      </c>
      <c r="X4" s="28">
        <v>0</v>
      </c>
      <c r="Y4" t="str">
        <f t="shared" ref="Y4:Y16" si="0">LOWER(SUBSTITUTE(TRIM(B4)," ",""))</f>
        <v>corn</v>
      </c>
    </row>
    <row r="5" spans="1:25">
      <c r="A5">
        <v>3</v>
      </c>
      <c r="B5" t="s">
        <v>31</v>
      </c>
      <c r="C5" t="s">
        <v>26</v>
      </c>
      <c r="D5" s="28">
        <v>3</v>
      </c>
      <c r="E5" s="28">
        <v>0.15</v>
      </c>
      <c r="F5" s="28">
        <v>45</v>
      </c>
      <c r="G5" s="28" t="s">
        <v>27</v>
      </c>
      <c r="H5" s="26">
        <v>27</v>
      </c>
      <c r="I5" s="28">
        <v>4</v>
      </c>
      <c r="J5" s="26">
        <v>0</v>
      </c>
      <c r="K5" s="26">
        <v>5</v>
      </c>
      <c r="L5" s="26">
        <v>1</v>
      </c>
      <c r="M5" s="26">
        <v>1</v>
      </c>
      <c r="N5" s="26">
        <v>50</v>
      </c>
      <c r="O5" s="28">
        <v>60</v>
      </c>
      <c r="P5" s="26">
        <v>4</v>
      </c>
      <c r="Q5" s="28">
        <v>0</v>
      </c>
      <c r="R5" s="28">
        <v>3</v>
      </c>
      <c r="S5" s="28">
        <v>-1</v>
      </c>
      <c r="T5" s="28">
        <v>0</v>
      </c>
      <c r="U5" s="28">
        <v>-1</v>
      </c>
      <c r="V5" s="28">
        <v>0</v>
      </c>
      <c r="W5" s="28">
        <v>-1</v>
      </c>
      <c r="X5" s="28">
        <v>0</v>
      </c>
      <c r="Y5" t="str">
        <f t="shared" si="0"/>
        <v>carrot</v>
      </c>
    </row>
    <row r="6" spans="1:25">
      <c r="A6">
        <v>4</v>
      </c>
      <c r="B6" t="s">
        <v>32</v>
      </c>
      <c r="C6" t="s">
        <v>26</v>
      </c>
      <c r="D6" s="28">
        <v>4</v>
      </c>
      <c r="E6" s="28">
        <v>0.15</v>
      </c>
      <c r="F6" s="28">
        <v>55</v>
      </c>
      <c r="G6" s="28" t="s">
        <v>27</v>
      </c>
      <c r="H6" s="26">
        <v>28</v>
      </c>
      <c r="I6" s="28">
        <v>5</v>
      </c>
      <c r="J6" s="26">
        <v>0</v>
      </c>
      <c r="K6" s="26">
        <v>6</v>
      </c>
      <c r="L6" s="26">
        <v>1</v>
      </c>
      <c r="M6" s="26">
        <v>1</v>
      </c>
      <c r="N6" s="26">
        <v>51</v>
      </c>
      <c r="O6" s="28">
        <v>61</v>
      </c>
      <c r="P6" s="26">
        <v>5</v>
      </c>
      <c r="Q6" s="28">
        <v>0</v>
      </c>
      <c r="R6" s="28">
        <v>2</v>
      </c>
      <c r="S6" s="28">
        <v>1</v>
      </c>
      <c r="T6" s="28">
        <v>3</v>
      </c>
      <c r="U6" s="28">
        <v>-1</v>
      </c>
      <c r="V6" s="28">
        <v>0</v>
      </c>
      <c r="W6" s="28">
        <v>-1</v>
      </c>
      <c r="X6" s="28">
        <v>0</v>
      </c>
      <c r="Y6" t="str">
        <f t="shared" si="0"/>
        <v>greencabbage</v>
      </c>
    </row>
    <row r="7" spans="1:25">
      <c r="A7">
        <v>5</v>
      </c>
      <c r="B7" t="s">
        <v>33</v>
      </c>
      <c r="C7" t="s">
        <v>26</v>
      </c>
      <c r="D7" s="28">
        <v>5</v>
      </c>
      <c r="E7" s="28">
        <v>0.15</v>
      </c>
      <c r="F7" s="28">
        <v>65</v>
      </c>
      <c r="G7" s="28" t="s">
        <v>27</v>
      </c>
      <c r="H7" s="26">
        <v>29</v>
      </c>
      <c r="I7" s="28">
        <v>4</v>
      </c>
      <c r="J7" s="26">
        <v>0</v>
      </c>
      <c r="K7" s="26">
        <v>7</v>
      </c>
      <c r="L7" s="26">
        <v>2</v>
      </c>
      <c r="M7" s="26">
        <v>4</v>
      </c>
      <c r="N7" s="26">
        <v>24</v>
      </c>
      <c r="O7" s="28">
        <v>34</v>
      </c>
      <c r="P7" s="26">
        <v>4</v>
      </c>
      <c r="Q7" s="28">
        <v>4</v>
      </c>
      <c r="R7" s="28">
        <v>1</v>
      </c>
      <c r="S7" s="28">
        <v>-1</v>
      </c>
      <c r="T7" s="28">
        <v>0</v>
      </c>
      <c r="U7" s="28">
        <v>-1</v>
      </c>
      <c r="V7" s="28">
        <v>0</v>
      </c>
      <c r="W7" s="28">
        <v>-1</v>
      </c>
      <c r="X7" s="28">
        <v>0</v>
      </c>
      <c r="Y7" t="str">
        <f t="shared" si="0"/>
        <v>redcabbage</v>
      </c>
    </row>
    <row r="8" spans="1:25">
      <c r="A8">
        <v>6</v>
      </c>
      <c r="B8" t="s">
        <v>34</v>
      </c>
      <c r="C8" t="s">
        <v>26</v>
      </c>
      <c r="D8" s="28">
        <v>6</v>
      </c>
      <c r="E8" s="28">
        <v>1.15</v>
      </c>
      <c r="F8" s="28">
        <v>75</v>
      </c>
      <c r="G8" s="28" t="s">
        <v>27</v>
      </c>
      <c r="H8" s="26">
        <v>30</v>
      </c>
      <c r="I8" s="28">
        <v>4</v>
      </c>
      <c r="J8" s="26">
        <v>0</v>
      </c>
      <c r="K8" s="26">
        <v>7</v>
      </c>
      <c r="L8" s="26">
        <v>2</v>
      </c>
      <c r="M8" s="26">
        <v>4</v>
      </c>
      <c r="N8" s="26">
        <v>25</v>
      </c>
      <c r="O8" s="28">
        <v>35</v>
      </c>
      <c r="P8" s="26">
        <v>4</v>
      </c>
      <c r="Q8" s="28">
        <v>5</v>
      </c>
      <c r="R8" s="28">
        <v>1</v>
      </c>
      <c r="S8" s="28">
        <v>-1</v>
      </c>
      <c r="T8" s="28">
        <v>0</v>
      </c>
      <c r="U8" s="28">
        <v>-1</v>
      </c>
      <c r="V8" s="28">
        <v>0</v>
      </c>
      <c r="W8" s="28">
        <v>-1</v>
      </c>
      <c r="X8" s="28">
        <v>0</v>
      </c>
      <c r="Y8" t="str">
        <f t="shared" si="0"/>
        <v>savoycabbage</v>
      </c>
    </row>
    <row r="9" spans="1:25">
      <c r="A9">
        <v>7</v>
      </c>
      <c r="B9" t="s">
        <v>35</v>
      </c>
      <c r="C9" t="s">
        <v>26</v>
      </c>
      <c r="D9" s="28">
        <v>7</v>
      </c>
      <c r="E9" s="28">
        <v>2.15</v>
      </c>
      <c r="F9" s="28">
        <v>85</v>
      </c>
      <c r="G9" s="28" t="s">
        <v>27</v>
      </c>
      <c r="H9" s="26">
        <v>31</v>
      </c>
      <c r="I9" s="28">
        <v>4</v>
      </c>
      <c r="J9" s="26">
        <v>0</v>
      </c>
      <c r="K9" s="26">
        <v>3</v>
      </c>
      <c r="L9" s="26">
        <v>2</v>
      </c>
      <c r="M9" s="26">
        <v>4</v>
      </c>
      <c r="N9" s="26">
        <v>26</v>
      </c>
      <c r="O9" s="28">
        <v>36</v>
      </c>
      <c r="P9" s="26">
        <v>5</v>
      </c>
      <c r="Q9" s="28">
        <v>6</v>
      </c>
      <c r="R9" s="28">
        <v>1</v>
      </c>
      <c r="S9" s="28">
        <v>-1</v>
      </c>
      <c r="T9" s="28">
        <v>0</v>
      </c>
      <c r="U9" s="28">
        <v>-1</v>
      </c>
      <c r="V9" s="28">
        <v>0</v>
      </c>
      <c r="W9" s="28">
        <v>-1</v>
      </c>
      <c r="X9" s="28">
        <v>0</v>
      </c>
      <c r="Y9" t="str">
        <f t="shared" si="0"/>
        <v>watermelon</v>
      </c>
    </row>
    <row r="10" spans="1:25">
      <c r="A10">
        <v>8</v>
      </c>
      <c r="B10" t="s">
        <v>36</v>
      </c>
      <c r="C10" t="s">
        <v>26</v>
      </c>
      <c r="D10" s="28">
        <v>8</v>
      </c>
      <c r="E10" s="28">
        <v>3.15</v>
      </c>
      <c r="F10" s="28">
        <v>95</v>
      </c>
      <c r="G10" s="28" t="s">
        <v>27</v>
      </c>
      <c r="H10" s="26">
        <v>32</v>
      </c>
      <c r="I10" s="28">
        <v>4</v>
      </c>
      <c r="J10" s="26">
        <v>0</v>
      </c>
      <c r="K10" s="26">
        <v>6</v>
      </c>
      <c r="L10" s="26">
        <v>2</v>
      </c>
      <c r="M10" s="26">
        <v>4</v>
      </c>
      <c r="N10" s="26">
        <v>27</v>
      </c>
      <c r="O10" s="28">
        <v>37</v>
      </c>
      <c r="P10" s="26">
        <v>5</v>
      </c>
      <c r="Q10" s="28">
        <v>7</v>
      </c>
      <c r="R10" s="28">
        <v>1</v>
      </c>
      <c r="S10" s="28">
        <v>-1</v>
      </c>
      <c r="T10" s="28">
        <v>0</v>
      </c>
      <c r="U10" s="28">
        <v>-1</v>
      </c>
      <c r="V10" s="28">
        <v>0</v>
      </c>
      <c r="W10" s="28">
        <v>-1</v>
      </c>
      <c r="X10" s="28">
        <v>0</v>
      </c>
      <c r="Y10" t="str">
        <f t="shared" si="0"/>
        <v>strawberry</v>
      </c>
    </row>
    <row r="11" spans="1:25">
      <c r="A11">
        <v>9</v>
      </c>
      <c r="B11" t="s">
        <v>37</v>
      </c>
      <c r="C11" t="s">
        <v>26</v>
      </c>
      <c r="D11" s="28">
        <v>9</v>
      </c>
      <c r="E11" s="28">
        <v>4.15</v>
      </c>
      <c r="F11" s="28">
        <v>105</v>
      </c>
      <c r="G11" s="28" t="s">
        <v>27</v>
      </c>
      <c r="H11" s="26">
        <v>33</v>
      </c>
      <c r="I11" s="28">
        <v>4</v>
      </c>
      <c r="J11" s="26">
        <v>0</v>
      </c>
      <c r="K11" s="26">
        <v>8</v>
      </c>
      <c r="L11" s="26">
        <v>2</v>
      </c>
      <c r="M11" s="26">
        <v>4</v>
      </c>
      <c r="N11" s="26">
        <v>28</v>
      </c>
      <c r="O11" s="28">
        <v>38</v>
      </c>
      <c r="P11" s="26">
        <v>6</v>
      </c>
      <c r="Q11" s="28">
        <v>8</v>
      </c>
      <c r="R11" s="28">
        <v>1</v>
      </c>
      <c r="S11" s="28">
        <v>-1</v>
      </c>
      <c r="T11" s="28">
        <v>0</v>
      </c>
      <c r="U11" s="28">
        <v>-1</v>
      </c>
      <c r="V11" s="28">
        <v>0</v>
      </c>
      <c r="W11" s="28">
        <v>-1</v>
      </c>
      <c r="X11" s="28">
        <v>0</v>
      </c>
      <c r="Y11" t="str">
        <f t="shared" si="0"/>
        <v>pumpkin</v>
      </c>
    </row>
    <row r="12" spans="1:25">
      <c r="A12">
        <v>10</v>
      </c>
      <c r="B12" t="s">
        <v>38</v>
      </c>
      <c r="C12" t="s">
        <v>26</v>
      </c>
      <c r="D12" s="28">
        <v>10</v>
      </c>
      <c r="E12" s="28">
        <v>30</v>
      </c>
      <c r="F12" s="28">
        <v>115</v>
      </c>
      <c r="G12" s="28" t="s">
        <v>27</v>
      </c>
      <c r="H12" s="26">
        <v>34</v>
      </c>
      <c r="I12" s="28">
        <v>4</v>
      </c>
      <c r="J12" s="26">
        <v>0</v>
      </c>
      <c r="K12" s="26">
        <v>3</v>
      </c>
      <c r="L12" s="26">
        <v>2</v>
      </c>
      <c r="M12" s="26">
        <v>4</v>
      </c>
      <c r="N12" s="26">
        <v>29</v>
      </c>
      <c r="O12" s="28">
        <v>39</v>
      </c>
      <c r="P12" s="26">
        <v>6</v>
      </c>
      <c r="Q12" s="28">
        <v>9</v>
      </c>
      <c r="R12" s="28">
        <v>1</v>
      </c>
      <c r="S12" s="28">
        <v>-1</v>
      </c>
      <c r="T12" s="28">
        <v>0</v>
      </c>
      <c r="U12" s="28">
        <v>-1</v>
      </c>
      <c r="V12" s="28">
        <v>0</v>
      </c>
      <c r="W12" s="28">
        <v>-1</v>
      </c>
      <c r="X12" s="28">
        <v>0</v>
      </c>
      <c r="Y12" t="str">
        <f t="shared" si="0"/>
        <v>chilipepper</v>
      </c>
    </row>
    <row r="13" spans="1:25">
      <c r="A13">
        <v>11</v>
      </c>
      <c r="B13" t="s">
        <v>39</v>
      </c>
      <c r="C13" t="s">
        <v>26</v>
      </c>
      <c r="D13" s="28">
        <v>11</v>
      </c>
      <c r="E13" s="28">
        <v>30</v>
      </c>
      <c r="F13" s="28">
        <v>125</v>
      </c>
      <c r="G13" s="28" t="s">
        <v>27</v>
      </c>
      <c r="H13" s="26">
        <v>35</v>
      </c>
      <c r="I13" s="28">
        <v>4</v>
      </c>
      <c r="J13" s="26">
        <v>0</v>
      </c>
      <c r="K13" s="26">
        <v>5</v>
      </c>
      <c r="L13" s="26">
        <v>2</v>
      </c>
      <c r="M13" s="26">
        <v>4</v>
      </c>
      <c r="N13" s="26">
        <v>30</v>
      </c>
      <c r="O13" s="28">
        <v>40</v>
      </c>
      <c r="P13" s="26">
        <v>7</v>
      </c>
      <c r="Q13" s="28">
        <v>10</v>
      </c>
      <c r="R13" s="28">
        <v>1</v>
      </c>
      <c r="S13" s="28">
        <v>-1</v>
      </c>
      <c r="T13" s="28">
        <v>0</v>
      </c>
      <c r="U13" s="28">
        <v>-1</v>
      </c>
      <c r="V13" s="28">
        <v>0</v>
      </c>
      <c r="W13" s="28">
        <v>-1</v>
      </c>
      <c r="X13" s="28">
        <v>0</v>
      </c>
      <c r="Y13" t="str">
        <f t="shared" si="0"/>
        <v>potato</v>
      </c>
    </row>
    <row r="14" spans="1:25">
      <c r="A14">
        <v>12</v>
      </c>
      <c r="B14" t="s">
        <v>40</v>
      </c>
      <c r="C14" t="s">
        <v>26</v>
      </c>
      <c r="D14" s="28">
        <v>12</v>
      </c>
      <c r="E14" s="28">
        <v>20</v>
      </c>
      <c r="F14" s="28">
        <v>135</v>
      </c>
      <c r="G14" s="28" t="s">
        <v>27</v>
      </c>
      <c r="H14" s="26">
        <v>36</v>
      </c>
      <c r="I14" s="28">
        <v>4</v>
      </c>
      <c r="J14" s="26">
        <v>0</v>
      </c>
      <c r="K14" s="26">
        <v>6</v>
      </c>
      <c r="L14" s="26">
        <v>2</v>
      </c>
      <c r="M14" s="26">
        <v>4</v>
      </c>
      <c r="N14" s="26">
        <v>31</v>
      </c>
      <c r="O14" s="28">
        <v>41</v>
      </c>
      <c r="P14" s="26">
        <v>7</v>
      </c>
      <c r="Q14" s="28">
        <v>11</v>
      </c>
      <c r="R14" s="28">
        <v>1</v>
      </c>
      <c r="S14" s="28">
        <v>-1</v>
      </c>
      <c r="T14" s="28">
        <v>0</v>
      </c>
      <c r="U14" s="28">
        <v>-1</v>
      </c>
      <c r="V14" s="28">
        <v>0</v>
      </c>
      <c r="W14" s="28">
        <v>-1</v>
      </c>
      <c r="X14" s="28">
        <v>0</v>
      </c>
      <c r="Y14" t="str">
        <f t="shared" si="0"/>
        <v>tomato</v>
      </c>
    </row>
    <row r="15" spans="1:25">
      <c r="A15">
        <v>13</v>
      </c>
      <c r="B15" t="s">
        <v>41</v>
      </c>
      <c r="C15" t="s">
        <v>26</v>
      </c>
      <c r="D15" s="28">
        <v>0</v>
      </c>
      <c r="E15" s="28">
        <v>20</v>
      </c>
      <c r="F15" s="28">
        <v>145</v>
      </c>
      <c r="G15" s="28" t="s">
        <v>42</v>
      </c>
      <c r="H15" s="26">
        <v>37</v>
      </c>
      <c r="I15" s="28">
        <v>4</v>
      </c>
      <c r="J15" s="26">
        <v>1</v>
      </c>
      <c r="K15" s="26">
        <v>-1</v>
      </c>
      <c r="L15" s="26">
        <v>1</v>
      </c>
      <c r="M15" s="26">
        <v>1</v>
      </c>
      <c r="N15" s="26">
        <v>32</v>
      </c>
      <c r="O15" s="28">
        <v>42</v>
      </c>
      <c r="P15" s="26">
        <v>1</v>
      </c>
      <c r="Q15" s="28">
        <v>11</v>
      </c>
      <c r="R15" s="28">
        <v>1</v>
      </c>
      <c r="S15" s="28">
        <v>-1</v>
      </c>
      <c r="T15" s="28">
        <v>0</v>
      </c>
      <c r="U15" s="28">
        <v>-1</v>
      </c>
      <c r="V15" s="28">
        <v>0</v>
      </c>
      <c r="W15" s="28">
        <v>-1</v>
      </c>
      <c r="X15" s="28">
        <v>0</v>
      </c>
      <c r="Y15" t="str">
        <f t="shared" si="0"/>
        <v>grassthin</v>
      </c>
    </row>
    <row r="16" spans="1:25">
      <c r="A16">
        <v>14</v>
      </c>
      <c r="B16" t="s">
        <v>43</v>
      </c>
      <c r="C16" t="s">
        <v>26</v>
      </c>
      <c r="D16" s="28">
        <v>0</v>
      </c>
      <c r="E16" s="28">
        <v>20</v>
      </c>
      <c r="F16" s="28">
        <v>155</v>
      </c>
      <c r="G16" s="28" t="s">
        <v>42</v>
      </c>
      <c r="H16" s="26">
        <v>38</v>
      </c>
      <c r="I16" s="28">
        <v>4</v>
      </c>
      <c r="J16" s="26">
        <v>1</v>
      </c>
      <c r="K16" s="26">
        <v>-1</v>
      </c>
      <c r="L16" s="26">
        <v>1</v>
      </c>
      <c r="M16" s="26">
        <v>1</v>
      </c>
      <c r="N16" s="26">
        <v>33</v>
      </c>
      <c r="O16" s="28">
        <v>43</v>
      </c>
      <c r="P16" s="26">
        <v>1</v>
      </c>
      <c r="Q16" s="28">
        <v>11</v>
      </c>
      <c r="R16" s="28">
        <v>1</v>
      </c>
      <c r="S16" s="28">
        <v>-1</v>
      </c>
      <c r="T16" s="28">
        <v>0</v>
      </c>
      <c r="U16" s="28">
        <v>-1</v>
      </c>
      <c r="V16" s="28">
        <v>0</v>
      </c>
      <c r="W16" s="28">
        <v>-1</v>
      </c>
      <c r="X16" s="28">
        <v>0</v>
      </c>
      <c r="Y16" t="str">
        <f t="shared" si="0"/>
        <v>grassmedium</v>
      </c>
    </row>
  </sheetData>
  <dataValidations count="1">
    <dataValidation type="list" allowBlank="1" showInputMessage="1" showErrorMessage="1" sqref="G2 G3 G4:G16">
      <formula1>ZConfig!$B$4:$B$15</formula1>
    </dataValidation>
  </dataValidations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I11"/>
  <sheetViews>
    <sheetView zoomScale="115" zoomScaleNormal="115" workbookViewId="0">
      <selection activeCell="C14" sqref="C14"/>
    </sheetView>
  </sheetViews>
  <sheetFormatPr defaultColWidth="9" defaultRowHeight="15"/>
  <cols>
    <col min="1" max="1" width="9.28571428571429" customWidth="1"/>
    <col min="2" max="2" width="14.647619047619" customWidth="1"/>
    <col min="3" max="3" width="21.4857142857143" customWidth="1"/>
    <col min="4" max="4" width="10.6761904761905" customWidth="1"/>
    <col min="5" max="5" width="5.42857142857143" customWidth="1"/>
    <col min="6" max="6" width="11.5714285714286" customWidth="1"/>
    <col min="7" max="7" width="13.5714285714286" customWidth="1"/>
    <col min="8" max="8" width="5.14285714285714" customWidth="1"/>
    <col min="9" max="9" width="9.28571428571429" customWidth="1"/>
  </cols>
  <sheetData>
    <row r="1" spans="1:9">
      <c r="A1" t="s">
        <v>9</v>
      </c>
      <c r="B1" t="s">
        <v>1</v>
      </c>
      <c r="C1" t="s">
        <v>44</v>
      </c>
      <c r="D1" t="s">
        <v>6</v>
      </c>
      <c r="E1" t="s">
        <v>45</v>
      </c>
      <c r="F1" t="s">
        <v>46</v>
      </c>
      <c r="G1" t="s">
        <v>47</v>
      </c>
      <c r="H1" t="s">
        <v>48</v>
      </c>
      <c r="I1" t="s">
        <v>24</v>
      </c>
    </row>
    <row r="2" spans="1:9">
      <c r="A2">
        <v>0</v>
      </c>
      <c r="B2" t="s">
        <v>49</v>
      </c>
      <c r="C2" t="s">
        <v>50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51</v>
      </c>
      <c r="C3" t="s">
        <v>52</v>
      </c>
      <c r="D3" t="s">
        <v>42</v>
      </c>
      <c r="E3">
        <v>-1</v>
      </c>
      <c r="F3">
        <v>0.1</v>
      </c>
      <c r="G3">
        <v>2</v>
      </c>
      <c r="H3">
        <v>-1</v>
      </c>
      <c r="I3" t="str">
        <f t="shared" ref="I3:I11" si="0">LOWER(SUBSTITUTE(TRIM(B3)," ",""))</f>
        <v>grasstile</v>
      </c>
    </row>
    <row r="4" spans="1:9">
      <c r="A4">
        <v>2</v>
      </c>
      <c r="B4" t="s">
        <v>53</v>
      </c>
      <c r="C4" t="s">
        <v>54</v>
      </c>
      <c r="D4" t="s">
        <v>29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55</v>
      </c>
      <c r="C5" t="s">
        <v>54</v>
      </c>
      <c r="D5" t="s">
        <v>29</v>
      </c>
      <c r="E5">
        <v>50</v>
      </c>
      <c r="F5">
        <v>0.4</v>
      </c>
      <c r="G5">
        <v>2</v>
      </c>
      <c r="H5">
        <v>1</v>
      </c>
      <c r="I5" t="str">
        <f t="shared" si="0"/>
        <v>feedmill</v>
      </c>
    </row>
    <row r="6" spans="1:9">
      <c r="A6">
        <v>4</v>
      </c>
      <c r="B6" t="s">
        <v>56</v>
      </c>
      <c r="C6" t="s">
        <v>54</v>
      </c>
      <c r="D6" t="s">
        <v>29</v>
      </c>
      <c r="E6">
        <v>50</v>
      </c>
      <c r="F6">
        <v>160</v>
      </c>
      <c r="G6">
        <v>2</v>
      </c>
      <c r="H6">
        <v>1</v>
      </c>
      <c r="I6" t="str">
        <f t="shared" si="0"/>
        <v>dairy</v>
      </c>
    </row>
    <row r="7" spans="1:9">
      <c r="A7">
        <v>5</v>
      </c>
      <c r="B7" t="s">
        <v>57</v>
      </c>
      <c r="C7" t="s">
        <v>54</v>
      </c>
      <c r="D7" t="s">
        <v>29</v>
      </c>
      <c r="E7">
        <v>350</v>
      </c>
      <c r="F7">
        <v>360</v>
      </c>
      <c r="G7">
        <v>2</v>
      </c>
      <c r="H7">
        <v>1</v>
      </c>
      <c r="I7" t="str">
        <f t="shared" si="0"/>
        <v>sugarmill</v>
      </c>
    </row>
    <row r="8" spans="1:9">
      <c r="A8">
        <v>6</v>
      </c>
      <c r="B8" t="s">
        <v>58</v>
      </c>
      <c r="C8" t="s">
        <v>54</v>
      </c>
      <c r="D8" t="s">
        <v>29</v>
      </c>
      <c r="E8">
        <v>650</v>
      </c>
      <c r="F8">
        <v>480</v>
      </c>
      <c r="G8">
        <v>2</v>
      </c>
      <c r="H8">
        <v>1</v>
      </c>
      <c r="I8" t="str">
        <f t="shared" si="0"/>
        <v>popcornpot</v>
      </c>
    </row>
    <row r="9" spans="1:9">
      <c r="A9">
        <v>7</v>
      </c>
      <c r="B9" t="s">
        <v>59</v>
      </c>
      <c r="C9" t="s">
        <v>54</v>
      </c>
      <c r="D9" t="s">
        <v>29</v>
      </c>
      <c r="E9">
        <v>730</v>
      </c>
      <c r="F9">
        <v>480</v>
      </c>
      <c r="G9">
        <v>2</v>
      </c>
      <c r="H9">
        <v>1</v>
      </c>
      <c r="I9" t="str">
        <f t="shared" si="0"/>
        <v>bbqgrill</v>
      </c>
    </row>
    <row r="10" spans="1:9">
      <c r="A10">
        <v>8</v>
      </c>
      <c r="B10" t="s">
        <v>60</v>
      </c>
      <c r="C10" t="s">
        <v>54</v>
      </c>
      <c r="D10" t="s">
        <v>29</v>
      </c>
      <c r="E10">
        <v>2200</v>
      </c>
      <c r="F10">
        <v>720</v>
      </c>
      <c r="G10">
        <v>2</v>
      </c>
      <c r="H10">
        <v>1</v>
      </c>
      <c r="I10" t="str">
        <f t="shared" si="0"/>
        <v>pieoven</v>
      </c>
    </row>
    <row r="11" spans="1:9">
      <c r="A11">
        <v>9</v>
      </c>
      <c r="B11" t="s">
        <v>61</v>
      </c>
      <c r="C11" t="s">
        <v>54</v>
      </c>
      <c r="D11" t="s">
        <v>29</v>
      </c>
      <c r="E11">
        <v>3200</v>
      </c>
      <c r="F11">
        <v>1440</v>
      </c>
      <c r="G11">
        <v>2</v>
      </c>
      <c r="H11">
        <v>1</v>
      </c>
      <c r="I11" t="str">
        <f t="shared" si="0"/>
        <v>loom</v>
      </c>
    </row>
  </sheetData>
  <dataValidations count="3">
    <dataValidation type="list" allowBlank="1" showInputMessage="1" showErrorMessage="1" sqref="B2:B100">
      <formula1>ZConfig!$A$4:$A$36</formula1>
    </dataValidation>
    <dataValidation type="list" allowBlank="1" showInputMessage="1" showErrorMessage="1" sqref="D2:D11">
      <formula1>ZConfig!$B$4:$B$8</formula1>
    </dataValidation>
    <dataValidation type="list" allowBlank="1" showInputMessage="1" showErrorMessage="1" sqref="D12:D100">
      <formula1>ZConfig!$B$4:$B$7</formula1>
    </dataValidation>
  </dataValidations>
  <pageMargins left="0.699305555555556" right="0.699305555555556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G26"/>
  <sheetViews>
    <sheetView workbookViewId="0">
      <selection activeCell="E7" sqref="E7"/>
    </sheetView>
  </sheetViews>
  <sheetFormatPr defaultColWidth="9" defaultRowHeight="15" outlineLevelCol="6"/>
  <cols>
    <col min="2" max="2" width="15" customWidth="1"/>
    <col min="3" max="3" width="21.8571428571429" customWidth="1"/>
    <col min="4" max="4" width="17.2857142857143" customWidth="1"/>
    <col min="5" max="5" width="18.5714285714286" customWidth="1"/>
    <col min="6" max="6" width="20.7142857142857" customWidth="1"/>
    <col min="7" max="7" width="21.1428571428571" customWidth="1"/>
    <col min="8" max="8" width="18.4285714285714" customWidth="1"/>
  </cols>
  <sheetData>
    <row r="1" spans="1:7">
      <c r="A1" t="s">
        <v>62</v>
      </c>
      <c r="B1" t="s">
        <v>63</v>
      </c>
      <c r="C1" s="20" t="s">
        <v>64</v>
      </c>
      <c r="D1" t="s">
        <v>65</v>
      </c>
      <c r="E1" t="s">
        <v>66</v>
      </c>
      <c r="F1" t="s">
        <v>67</v>
      </c>
      <c r="G1" s="20" t="s">
        <v>68</v>
      </c>
    </row>
    <row r="2" spans="1:7">
      <c r="A2">
        <v>0</v>
      </c>
      <c r="B2" s="24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50</v>
      </c>
      <c r="C3">
        <v>-1</v>
      </c>
      <c r="D3">
        <v>0</v>
      </c>
      <c r="E3">
        <v>0</v>
      </c>
      <c r="F3">
        <v>9</v>
      </c>
      <c r="G3">
        <v>5</v>
      </c>
    </row>
    <row r="4" spans="1:7">
      <c r="A4">
        <v>2</v>
      </c>
      <c r="B4" s="24">
        <v>60</v>
      </c>
      <c r="C4">
        <v>2</v>
      </c>
      <c r="D4">
        <v>1</v>
      </c>
      <c r="E4">
        <v>-1</v>
      </c>
      <c r="F4">
        <v>9</v>
      </c>
      <c r="G4">
        <v>5</v>
      </c>
    </row>
    <row r="5" spans="1:7">
      <c r="A5">
        <v>3</v>
      </c>
      <c r="B5" s="24">
        <f>ZConfig!G6</f>
        <v>70</v>
      </c>
      <c r="C5">
        <v>-1</v>
      </c>
      <c r="D5">
        <v>2</v>
      </c>
      <c r="E5">
        <v>1</v>
      </c>
      <c r="F5">
        <v>9</v>
      </c>
      <c r="G5">
        <v>0</v>
      </c>
    </row>
    <row r="6" spans="1:7">
      <c r="A6">
        <v>4</v>
      </c>
      <c r="B6" s="24">
        <f>ZConfig!G7</f>
        <v>130</v>
      </c>
      <c r="C6">
        <v>2</v>
      </c>
      <c r="D6">
        <v>3</v>
      </c>
      <c r="E6">
        <v>-1</v>
      </c>
      <c r="F6">
        <v>9</v>
      </c>
      <c r="G6">
        <v>5</v>
      </c>
    </row>
    <row r="7" spans="1:7">
      <c r="A7">
        <v>5</v>
      </c>
      <c r="B7" s="24">
        <f>ZConfig!G8</f>
        <v>220</v>
      </c>
      <c r="C7">
        <v>-1</v>
      </c>
      <c r="D7">
        <v>4</v>
      </c>
      <c r="E7">
        <v>2</v>
      </c>
      <c r="F7">
        <v>9</v>
      </c>
      <c r="G7">
        <v>0</v>
      </c>
    </row>
    <row r="8" spans="1:7">
      <c r="A8">
        <v>6</v>
      </c>
      <c r="B8" s="24">
        <f>ZConfig!G9</f>
        <v>350</v>
      </c>
      <c r="C8">
        <v>2</v>
      </c>
      <c r="D8">
        <v>5</v>
      </c>
      <c r="E8">
        <v>-1</v>
      </c>
      <c r="F8">
        <v>9</v>
      </c>
      <c r="G8">
        <v>5</v>
      </c>
    </row>
    <row r="9" spans="1:7">
      <c r="A9">
        <v>7</v>
      </c>
      <c r="B9" s="24">
        <f>ZConfig!G10</f>
        <v>520</v>
      </c>
      <c r="C9">
        <v>-1</v>
      </c>
      <c r="D9">
        <v>6</v>
      </c>
      <c r="E9">
        <v>-1</v>
      </c>
      <c r="F9">
        <v>9</v>
      </c>
      <c r="G9">
        <v>0</v>
      </c>
    </row>
    <row r="10" spans="1:7">
      <c r="A10">
        <v>8</v>
      </c>
      <c r="B10" s="24">
        <f>ZConfig!G11</f>
        <v>730</v>
      </c>
      <c r="C10">
        <v>2</v>
      </c>
      <c r="D10">
        <v>7</v>
      </c>
      <c r="E10">
        <v>-1</v>
      </c>
      <c r="F10">
        <v>9</v>
      </c>
      <c r="G10">
        <v>5</v>
      </c>
    </row>
    <row r="11" spans="1:7">
      <c r="A11">
        <v>9</v>
      </c>
      <c r="B11" s="24">
        <f>ZConfig!G12</f>
        <v>1000</v>
      </c>
      <c r="C11">
        <v>-1</v>
      </c>
      <c r="D11">
        <v>8</v>
      </c>
      <c r="E11">
        <v>-1</v>
      </c>
      <c r="F11">
        <v>9</v>
      </c>
      <c r="G11">
        <v>0</v>
      </c>
    </row>
    <row r="12" spans="1:7">
      <c r="A12">
        <v>10</v>
      </c>
      <c r="B12" s="24">
        <f>ZConfig!G13</f>
        <v>1340</v>
      </c>
      <c r="C12">
        <v>2</v>
      </c>
      <c r="D12">
        <v>9</v>
      </c>
      <c r="E12">
        <v>-1</v>
      </c>
      <c r="F12">
        <v>9</v>
      </c>
      <c r="G12">
        <v>10</v>
      </c>
    </row>
    <row r="13" spans="1:7">
      <c r="A13">
        <v>11</v>
      </c>
      <c r="B13" s="24">
        <f>ZConfig!G14</f>
        <v>1730</v>
      </c>
      <c r="C13">
        <v>-1</v>
      </c>
      <c r="D13">
        <v>10</v>
      </c>
      <c r="E13">
        <v>-1</v>
      </c>
      <c r="F13">
        <v>9</v>
      </c>
      <c r="G13">
        <v>0</v>
      </c>
    </row>
    <row r="14" spans="1:7">
      <c r="A14">
        <v>12</v>
      </c>
      <c r="B14" s="24">
        <f>ZConfig!G15</f>
        <v>2200</v>
      </c>
      <c r="C14">
        <v>2</v>
      </c>
      <c r="D14">
        <v>11</v>
      </c>
      <c r="E14">
        <v>-1</v>
      </c>
      <c r="F14">
        <v>9</v>
      </c>
      <c r="G14">
        <v>10</v>
      </c>
    </row>
    <row r="15" spans="1:7">
      <c r="A15">
        <v>13</v>
      </c>
      <c r="B15" s="24">
        <f>ZConfig!G16</f>
        <v>2750</v>
      </c>
      <c r="C15">
        <v>-1</v>
      </c>
      <c r="D15">
        <v>12</v>
      </c>
      <c r="E15">
        <v>-1</v>
      </c>
      <c r="F15">
        <v>9</v>
      </c>
      <c r="G15">
        <v>0</v>
      </c>
    </row>
    <row r="16" spans="1:7">
      <c r="A16">
        <v>14</v>
      </c>
      <c r="B16" s="24">
        <f>ZConfig!G17</f>
        <v>3380</v>
      </c>
      <c r="C16">
        <v>2</v>
      </c>
      <c r="D16">
        <v>-1</v>
      </c>
      <c r="E16">
        <v>-1</v>
      </c>
      <c r="F16">
        <v>-1</v>
      </c>
      <c r="G16">
        <v>10</v>
      </c>
    </row>
    <row r="17" spans="1:7">
      <c r="A17">
        <v>15</v>
      </c>
      <c r="B17" s="24">
        <f>ZConfig!G18</f>
        <v>4100</v>
      </c>
      <c r="C17">
        <v>-1</v>
      </c>
      <c r="D17">
        <v>-1</v>
      </c>
      <c r="E17">
        <v>-1</v>
      </c>
      <c r="F17">
        <v>4</v>
      </c>
      <c r="G17">
        <v>0</v>
      </c>
    </row>
    <row r="18" spans="1:7">
      <c r="A18">
        <v>16</v>
      </c>
      <c r="B18" s="24">
        <f>ZConfig!G19</f>
        <v>4920</v>
      </c>
      <c r="C18">
        <v>2</v>
      </c>
      <c r="D18">
        <v>-1</v>
      </c>
      <c r="E18">
        <v>-1</v>
      </c>
      <c r="F18">
        <v>-1</v>
      </c>
      <c r="G18">
        <v>10</v>
      </c>
    </row>
    <row r="19" spans="1:7">
      <c r="A19">
        <v>17</v>
      </c>
      <c r="B19" s="24">
        <f>ZConfig!G20</f>
        <v>5840</v>
      </c>
      <c r="C19">
        <v>-1</v>
      </c>
      <c r="D19">
        <v>-1</v>
      </c>
      <c r="E19">
        <v>-1</v>
      </c>
      <c r="F19">
        <v>4</v>
      </c>
      <c r="G19">
        <v>0</v>
      </c>
    </row>
    <row r="20" spans="1:7">
      <c r="A20">
        <v>18</v>
      </c>
      <c r="B20" s="24">
        <f>ZConfig!G21</f>
        <v>6860</v>
      </c>
      <c r="C20">
        <v>2</v>
      </c>
      <c r="D20">
        <v>-1</v>
      </c>
      <c r="E20">
        <v>-1</v>
      </c>
      <c r="F20">
        <v>-1</v>
      </c>
      <c r="G20">
        <v>10</v>
      </c>
    </row>
    <row r="21" spans="1:7">
      <c r="A21">
        <v>19</v>
      </c>
      <c r="B21" s="24">
        <f>ZConfig!G22</f>
        <v>8000</v>
      </c>
      <c r="C21">
        <v>-1</v>
      </c>
      <c r="D21">
        <v>-1</v>
      </c>
      <c r="E21">
        <v>-1</v>
      </c>
      <c r="F21">
        <v>4</v>
      </c>
      <c r="G21">
        <v>0</v>
      </c>
    </row>
    <row r="22" spans="1:7">
      <c r="A22">
        <v>20</v>
      </c>
      <c r="B22" s="24">
        <f>ZConfig!G23</f>
        <v>9270</v>
      </c>
      <c r="C22">
        <v>1</v>
      </c>
      <c r="D22">
        <v>-1</v>
      </c>
      <c r="E22">
        <v>-1</v>
      </c>
      <c r="F22">
        <v>-1</v>
      </c>
      <c r="G22">
        <v>15</v>
      </c>
    </row>
    <row r="23" spans="1:7">
      <c r="A23">
        <v>21</v>
      </c>
      <c r="B23" s="24">
        <f>ZConfig!G24</f>
        <v>10650</v>
      </c>
      <c r="C23">
        <v>-1</v>
      </c>
      <c r="D23">
        <v>-1</v>
      </c>
      <c r="E23">
        <v>-1</v>
      </c>
      <c r="F23">
        <v>4</v>
      </c>
      <c r="G23">
        <v>0</v>
      </c>
    </row>
    <row r="24" spans="1:7">
      <c r="A24">
        <v>22</v>
      </c>
      <c r="B24" s="24">
        <f>ZConfig!G25</f>
        <v>12170</v>
      </c>
      <c r="C24">
        <v>1</v>
      </c>
      <c r="D24">
        <v>-1</v>
      </c>
      <c r="E24">
        <v>-1</v>
      </c>
      <c r="F24">
        <v>-1</v>
      </c>
      <c r="G24">
        <v>15</v>
      </c>
    </row>
    <row r="25" spans="1:7">
      <c r="A25">
        <v>23</v>
      </c>
      <c r="B25" s="24">
        <f>ZConfig!G26</f>
        <v>13830</v>
      </c>
      <c r="C25">
        <v>-1</v>
      </c>
      <c r="D25">
        <v>-1</v>
      </c>
      <c r="E25">
        <v>-1</v>
      </c>
      <c r="F25">
        <v>4</v>
      </c>
      <c r="G25">
        <v>0</v>
      </c>
    </row>
    <row r="26" spans="1:7">
      <c r="A26">
        <v>24</v>
      </c>
      <c r="B26" s="24">
        <f>ZConfig!G27</f>
        <v>15630</v>
      </c>
      <c r="C26">
        <v>1</v>
      </c>
      <c r="D26">
        <v>-1</v>
      </c>
      <c r="E26">
        <v>-1</v>
      </c>
      <c r="F26">
        <v>4</v>
      </c>
      <c r="G26">
        <v>15</v>
      </c>
    </row>
  </sheetData>
  <autoFilter ref="A1:G26"/>
  <pageMargins left="0.699305555555556" right="0.699305555555556" top="0.75" bottom="0.75" header="0.3" footer="0.3"/>
  <pageSetup paperSize="1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O40"/>
  <sheetViews>
    <sheetView zoomScale="130" zoomScaleNormal="130" workbookViewId="0">
      <selection activeCell="C9" sqref="C9"/>
    </sheetView>
  </sheetViews>
  <sheetFormatPr defaultColWidth="9.14285714285714" defaultRowHeight="15"/>
  <cols>
    <col min="1" max="1" width="26.5714285714286" style="2" customWidth="1"/>
    <col min="2" max="2" width="50.4285714285714" style="2" customWidth="1"/>
    <col min="3" max="3" width="22.7142857142857" style="2" customWidth="1"/>
    <col min="4" max="5" width="9.14285714285714" style="2"/>
    <col min="6" max="6" width="12.8571428571429" style="3" customWidth="1"/>
    <col min="7" max="7" width="10.4285714285714" style="2" customWidth="1"/>
    <col min="8" max="8" width="9.14285714285714" style="2"/>
    <col min="9" max="10" width="9.14285714285714" style="4"/>
    <col min="11" max="11" width="19.5714285714286" style="4" customWidth="1"/>
    <col min="12" max="40" width="9.14285714285714" style="4"/>
    <col min="41" max="41" width="57.2857142857143" style="4" customWidth="1"/>
    <col min="42" max="16384" width="9.14285714285714" style="4"/>
  </cols>
  <sheetData>
    <row r="1" spans="1:41">
      <c r="A1" s="5" t="s">
        <v>69</v>
      </c>
      <c r="B1" s="2" t="s">
        <v>70</v>
      </c>
      <c r="C1" s="6" t="s">
        <v>71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72</v>
      </c>
    </row>
    <row r="2" spans="2:41">
      <c r="B2" s="2" t="s">
        <v>73</v>
      </c>
      <c r="C2" s="2" t="s">
        <v>74</v>
      </c>
      <c r="D2" s="5" t="s">
        <v>75</v>
      </c>
      <c r="E2" s="8" t="s">
        <v>76</v>
      </c>
      <c r="F2" s="9" t="s">
        <v>77</v>
      </c>
      <c r="G2" s="5" t="s">
        <v>78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79</v>
      </c>
    </row>
    <row r="3" spans="1:14">
      <c r="A3" s="10" t="s">
        <v>80</v>
      </c>
      <c r="B3" s="2" t="s">
        <v>81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82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14">
      <c r="A4" s="10" t="s">
        <v>83</v>
      </c>
      <c r="B4" s="2" t="s">
        <v>84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30</v>
      </c>
      <c r="K4" s="19" t="s">
        <v>26</v>
      </c>
      <c r="L4" s="18">
        <v>1</v>
      </c>
      <c r="M4" s="18">
        <v>0.1</v>
      </c>
      <c r="N4" s="18">
        <v>1</v>
      </c>
    </row>
    <row r="5" spans="1:14">
      <c r="A5" s="10" t="s">
        <v>53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31</v>
      </c>
      <c r="K5" s="19" t="s">
        <v>26</v>
      </c>
      <c r="L5" s="18">
        <v>2</v>
      </c>
      <c r="M5" s="18">
        <v>0.1</v>
      </c>
      <c r="N5" s="18">
        <v>2</v>
      </c>
    </row>
    <row r="6" spans="1:14">
      <c r="A6" s="10" t="s">
        <v>59</v>
      </c>
      <c r="B6" s="2" t="s">
        <v>29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85</v>
      </c>
      <c r="K6" s="19" t="s">
        <v>26</v>
      </c>
      <c r="L6" s="18">
        <v>3</v>
      </c>
      <c r="M6" s="18">
        <v>0.1</v>
      </c>
      <c r="N6" s="18">
        <v>2</v>
      </c>
    </row>
    <row r="7" spans="1:14">
      <c r="A7" s="10" t="s">
        <v>86</v>
      </c>
      <c r="B7" s="2" t="s">
        <v>87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88</v>
      </c>
      <c r="K7" s="19" t="s">
        <v>26</v>
      </c>
      <c r="L7" s="18">
        <v>4</v>
      </c>
      <c r="M7" s="18">
        <v>0.1</v>
      </c>
      <c r="N7" s="18">
        <v>3</v>
      </c>
    </row>
    <row r="8" s="1" customFormat="1" spans="1:14">
      <c r="A8" s="14" t="s">
        <v>89</v>
      </c>
      <c r="B8" s="14" t="s">
        <v>42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90</v>
      </c>
      <c r="K8" s="19" t="s">
        <v>26</v>
      </c>
      <c r="L8" s="18">
        <v>5</v>
      </c>
      <c r="M8" s="18">
        <v>0.1</v>
      </c>
      <c r="N8" s="18">
        <v>5</v>
      </c>
    </row>
    <row r="9" spans="1:14">
      <c r="A9" s="2" t="s">
        <v>91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37</v>
      </c>
      <c r="K9" s="19" t="s">
        <v>26</v>
      </c>
      <c r="L9" s="18">
        <v>6</v>
      </c>
      <c r="M9" s="18">
        <v>0.1</v>
      </c>
      <c r="N9" s="18">
        <v>6</v>
      </c>
    </row>
    <row r="10" spans="1:14">
      <c r="A10" s="2" t="s">
        <v>92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93</v>
      </c>
      <c r="K10" s="19" t="s">
        <v>26</v>
      </c>
      <c r="L10" s="18">
        <v>7</v>
      </c>
      <c r="M10" s="18">
        <v>0.1</v>
      </c>
      <c r="N10" s="18">
        <v>6</v>
      </c>
    </row>
    <row r="11" spans="1:14">
      <c r="A11" s="2" t="s">
        <v>94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38</v>
      </c>
      <c r="K11" s="19" t="s">
        <v>26</v>
      </c>
      <c r="L11" s="18">
        <v>8</v>
      </c>
      <c r="M11" s="18">
        <v>0.1</v>
      </c>
      <c r="N11" s="18">
        <v>7</v>
      </c>
    </row>
    <row r="12" spans="1:14">
      <c r="A12" s="2" t="s">
        <v>95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96</v>
      </c>
      <c r="K12" s="19" t="s">
        <v>26</v>
      </c>
      <c r="L12" s="18">
        <v>9</v>
      </c>
      <c r="M12" s="18">
        <v>0.1</v>
      </c>
      <c r="N12" s="18">
        <v>7</v>
      </c>
    </row>
    <row r="13" spans="1:14">
      <c r="A13" s="10" t="s">
        <v>97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40</v>
      </c>
      <c r="K13" s="19" t="s">
        <v>26</v>
      </c>
      <c r="L13" s="18">
        <v>10</v>
      </c>
      <c r="M13" s="18">
        <v>0.1</v>
      </c>
      <c r="N13" s="18">
        <v>8</v>
      </c>
    </row>
    <row r="14" spans="1:14">
      <c r="A14" s="10" t="s">
        <v>56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98</v>
      </c>
      <c r="K14" s="19" t="s">
        <v>26</v>
      </c>
      <c r="L14" s="18">
        <v>11</v>
      </c>
      <c r="M14" s="18">
        <v>0.1</v>
      </c>
      <c r="N14" s="18">
        <v>10</v>
      </c>
    </row>
    <row r="15" spans="1:8">
      <c r="A15" s="10" t="s">
        <v>55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8">
      <c r="A16" s="10" t="s">
        <v>49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8">
      <c r="A17" s="10" t="s">
        <v>99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8">
      <c r="A18" s="10" t="s">
        <v>100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8">
      <c r="A19" s="2" t="s">
        <v>51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8">
      <c r="A20" s="10" t="s">
        <v>101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8">
      <c r="A21" s="10" t="s">
        <v>102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8">
      <c r="A22" s="10" t="s">
        <v>103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8">
      <c r="A23" s="10" t="s">
        <v>104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8">
      <c r="A24" s="10" t="s">
        <v>105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8">
      <c r="A25" s="10" t="s">
        <v>61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8">
      <c r="A26" s="10" t="s">
        <v>106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8">
      <c r="A27" s="10" t="s">
        <v>107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108</v>
      </c>
      <c r="E28" s="8"/>
      <c r="F28" s="9"/>
      <c r="K28" s="20"/>
    </row>
    <row r="29" spans="1:11">
      <c r="A29" s="10" t="s">
        <v>60</v>
      </c>
      <c r="K29" s="20"/>
    </row>
    <row r="30" spans="1:11">
      <c r="A30" s="10" t="s">
        <v>109</v>
      </c>
      <c r="K30" s="20"/>
    </row>
    <row r="31" spans="1:11">
      <c r="A31" s="10" t="s">
        <v>58</v>
      </c>
      <c r="K31" s="20"/>
    </row>
    <row r="32" spans="1:11">
      <c r="A32" s="10" t="s">
        <v>110</v>
      </c>
      <c r="K32" s="20"/>
    </row>
    <row r="33" spans="1:11">
      <c r="A33" s="10" t="s">
        <v>111</v>
      </c>
      <c r="K33" s="20"/>
    </row>
    <row r="34" spans="1:11">
      <c r="A34" s="10" t="s">
        <v>112</v>
      </c>
      <c r="K34" s="20"/>
    </row>
    <row r="35" spans="1:11">
      <c r="A35" s="10" t="s">
        <v>113</v>
      </c>
      <c r="K35" s="20"/>
    </row>
    <row r="36" spans="1:1">
      <c r="A36" s="10" t="s">
        <v>57</v>
      </c>
    </row>
    <row r="37" spans="1:1">
      <c r="A37" s="10"/>
    </row>
    <row r="38" spans="1:1">
      <c r="A38" s="10"/>
    </row>
    <row r="39" spans="1:1">
      <c r="A39" s="10"/>
    </row>
    <row r="40" spans="1:1">
      <c r="A40" s="10"/>
    </row>
  </sheetData>
  <conditionalFormatting sqref="I14:N14">
    <cfRule type="cellIs" dxfId="0" priority="1" stopIfTrue="1" operator="equal">
      <formula>"d2"</formula>
    </cfRule>
    <cfRule type="cellIs" dxfId="0" priority="2" stopIfTrue="1" operator="equal">
      <formula>"d1"</formula>
    </cfRule>
    <cfRule type="cellIs" dxfId="0" priority="3" stopIfTrue="1" operator="equal">
      <formula>"d0"</formula>
    </cfRule>
    <cfRule type="cellIs" dxfId="1" priority="4" stopIfTrue="1" operator="equal">
      <formula>"a2"</formula>
    </cfRule>
    <cfRule type="cellIs" dxfId="2" priority="5" stopIfTrue="1" operator="equal">
      <formula>"a1"</formula>
    </cfRule>
    <cfRule type="cellIs" dxfId="3" priority="6" stopIfTrue="1" operator="equal">
      <formula>"a0"</formula>
    </cfRule>
    <cfRule type="cellIs" dxfId="4" priority="7" stopIfTrue="1" operator="equal">
      <formula>"g1"</formula>
    </cfRule>
    <cfRule type="cellIs" dxfId="4" priority="8" stopIfTrue="1" operator="equal">
      <formula>"g0"</formula>
    </cfRule>
  </conditionalFormatting>
  <conditionalFormatting sqref="A1 A37:AD89 AN1:AO2 C1:AD1 A5:B7 C5:E27 A4:E4 A3:F3 F4:F27 J15:AD27 H3:H27 C2:H2 O2:AD14 C28:J35 L28:AD35 B36:AD36 A13:B18 B19:B35 A20:A36">
    <cfRule type="cellIs" dxfId="0" priority="39" stopIfTrue="1" operator="equal">
      <formula>"d1"</formula>
    </cfRule>
    <cfRule type="cellIs" dxfId="0" priority="40" stopIfTrue="1" operator="equal">
      <formula>"d0"</formula>
    </cfRule>
    <cfRule type="cellIs" dxfId="1" priority="41" stopIfTrue="1" operator="equal">
      <formula>"a2"</formula>
    </cfRule>
    <cfRule type="cellIs" dxfId="2" priority="42" stopIfTrue="1" operator="equal">
      <formula>"a1"</formula>
    </cfRule>
    <cfRule type="cellIs" dxfId="3" priority="43" stopIfTrue="1" operator="equal">
      <formula>"a0"</formula>
    </cfRule>
    <cfRule type="cellIs" dxfId="4" priority="44" stopIfTrue="1" operator="equal">
      <formula>"g1"</formula>
    </cfRule>
    <cfRule type="cellIs" dxfId="4" priority="45" stopIfTrue="1" operator="equal">
      <formula>"g0"</formula>
    </cfRule>
  </conditionalFormatting>
  <conditionalFormatting sqref="I2:N13">
    <cfRule type="cellIs" dxfId="0" priority="9" stopIfTrue="1" operator="equal">
      <formula>"d2"</formula>
    </cfRule>
    <cfRule type="cellIs" dxfId="0" priority="10" stopIfTrue="1" operator="equal">
      <formula>"d1"</formula>
    </cfRule>
    <cfRule type="cellIs" dxfId="0" priority="11" stopIfTrue="1" operator="equal">
      <formula>"d0"</formula>
    </cfRule>
    <cfRule type="cellIs" dxfId="1" priority="12" stopIfTrue="1" operator="equal">
      <formula>"a2"</formula>
    </cfRule>
    <cfRule type="cellIs" dxfId="2" priority="13" stopIfTrue="1" operator="equal">
      <formula>"a1"</formula>
    </cfRule>
    <cfRule type="cellIs" dxfId="3" priority="14" stopIfTrue="1" operator="equal">
      <formula>"a0"</formula>
    </cfRule>
    <cfRule type="cellIs" dxfId="4" priority="15" stopIfTrue="1" operator="equal">
      <formula>"g1"</formula>
    </cfRule>
    <cfRule type="cellIs" dxfId="4" priority="16" stopIfTrue="1" operator="equal">
      <formula>"g0"</formula>
    </cfRule>
  </conditionalFormatting>
  <pageMargins left="0.699305555555556" right="0.699305555555556" top="0.75" bottom="0.75" header="0.3" footer="0.3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1743075</xdr:colOff>
                <xdr:row>14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dcterms:created xsi:type="dcterms:W3CDTF">2006-09-16T00:00:00Z</dcterms:created>
  <cp:lastPrinted>2017-05-02T12:09:00Z</cp:lastPrinted>
  <dcterms:modified xsi:type="dcterms:W3CDTF">2018-02-22T16:16:12Z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