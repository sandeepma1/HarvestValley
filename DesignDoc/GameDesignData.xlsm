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Y5" i="1" l="1"/>
  <c r="Y6" i="1"/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<sst xmlns="http://schemas.openxmlformats.org/spreadsheetml/2006/main" count="201" uniqueCount="116">
  <si>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</si>
  <si>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</si>
  <si>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</si>
  <si>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</si>
  <si>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</si>
  <si>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</si>
  <si>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</si>
  <si>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</si>
  <si>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</si>
  <si>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</si>
  <si>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</si>
  <si>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</si>
  <si>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</si>
  <si>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</si>
  <si>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</si>
  <si>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</si>
  <si>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</si>
  <si>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</si>
  <si>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</si>
  <si>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</si>
  <si>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</si>
  <si>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</si>
  <si>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</si>
  <si>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</si>
  <si>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</si>
  <si>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</si>
  <si>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</si>
  <si>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</si>
  <si>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</si>
  <si>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</si>
  <si>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</si>
  <si>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</si>
  <si>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Savoy Cabbage</t>
  </si>
  <si>
    <t>Strawberry</t>
  </si>
  <si>
    <t>Pumpkin</t>
  </si>
  <si>
    <t>Chili Pepper</t>
  </si>
  <si>
    <t>Potato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</si>
  <si>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</si>
  <si>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</si>
  <si>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</si>
  <si>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</si>
  <si>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</si>
  <si>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</si>
  <si>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</si>
  <si>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</si>
  <si>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</si>
  <si>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</si>
  <si>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</si>
  <si>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</si>
  <si>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</si>
  <si>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</si>
  <si>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</si>
  <si>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</si>
  <si>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</si>
  <si>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</si>
  <si>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</si>
  <si>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</si>
  <si>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</si>
  <si>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</si>
  <si>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</si>
  <si>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</si>
  <si>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</si>
  <si>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</si>
  <si>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</si>
  <si>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</si>
  <si>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</si>
  <si>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</si>
  <si>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</si>
  <si>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</si>
  <si>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</si>
  <si>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</si>
  <si>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</si>
  <si>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</si>
  <si>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</si>
  <si>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</si>
  <si>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</si>
  <si>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</si>
  <si>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</si>
  <si>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</si>
  <si>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</si>
  <si>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</si>
  <si>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</si>
  <si>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</si>
  <si>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</si>
  <si>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</si>
  <si>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</si>
  <si>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</si>
  <si>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</si>
  <si>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</si>
  <si>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</si>
  <si>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</si>
  <si>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</si>
  <si>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</si>
  <si>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</si>
  <si>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</si>
  <si>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</si>
  <si>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</si>
  <si>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</si>
  <si>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</si>
  <si>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</si>
  <si>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</si>
  <si>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</si>
  <si>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</si>
  <si>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</si>
  <si>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</si>
  <si>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</si>
  <si>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</si>
  <si>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</si>
  <si>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</si>
  <si>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Banana Bread</t>
  </si>
  <si>
    <t>Butter</t>
  </si>
  <si>
    <t>Basic Grass</t>
  </si>
  <si>
    <t>Thin Grass</t>
  </si>
  <si>
    <t>Thick Grass</t>
  </si>
  <si>
    <t>Animals</t>
  </si>
  <si>
    <t>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</si>
</sst>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Normal="100" workbookViewId="0">
      <pane ySplit="1" topLeftCell="A2" activePane="bottomLeft" state="frozen"/>
      <selection pane="bottomLeft" activeCell="J16" sqref="J16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4.42578125" style="26" bestFit="1" customWidth="1"/>
    <col min="7" max="7" width="15" style="26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0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32" customFormat="1">
      <c r="A5" s="29">
        <v>3</v>
      </c>
      <c r="B5" s="32" t="s">
        <v>111</v>
      </c>
      <c r="C5" s="32" t="s">
        <v>26</v>
      </c>
      <c r="D5" s="30">
        <v>3</v>
      </c>
      <c r="E5" s="33">
        <v>15</v>
      </c>
      <c r="F5" s="33">
        <v>55</v>
      </c>
      <c r="G5" s="33" t="s">
        <v>38</v>
      </c>
      <c r="H5" s="33">
        <v>10</v>
      </c>
      <c r="I5" s="33">
        <v>5</v>
      </c>
      <c r="J5" s="33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basicgrass</v>
      </c>
    </row>
    <row r="6" spans="1:25" s="34" customFormat="1">
      <c r="A6" s="34">
        <v>4</v>
      </c>
      <c r="B6" s="34" t="s">
        <v>115</v>
      </c>
      <c r="C6" s="34" t="s">
        <v>26</v>
      </c>
      <c r="D6" s="35">
        <v>4</v>
      </c>
      <c r="E6" s="35">
        <v>5</v>
      </c>
      <c r="F6" s="35">
        <v>25</v>
      </c>
      <c r="G6" s="35" t="s">
        <v>77</v>
      </c>
      <c r="H6" s="35">
        <v>27</v>
      </c>
      <c r="I6" s="35">
        <v>4</v>
      </c>
      <c r="J6" s="35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3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34" t="str">
        <f t="shared" ref="Y6" si="1">LOWER(SUBSTITUTE(TRIM(B6)," ",""))</f>
        <v>egg</v>
      </c>
    </row>
    <row r="7" spans="1:25" s="29" customFormat="1">
      <c r="A7" s="29">
        <v>5</v>
      </c>
      <c r="B7" s="31" t="s">
        <v>109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0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3</v>
      </c>
      <c r="T7" s="30">
        <v>2</v>
      </c>
      <c r="U7" s="30">
        <v>4</v>
      </c>
      <c r="V7" s="30">
        <v>2</v>
      </c>
      <c r="W7" s="30">
        <v>5</v>
      </c>
      <c r="X7" s="30">
        <v>2</v>
      </c>
      <c r="Y7" s="29" t="str">
        <f>LOWER(SUBSTITUTE(TRIM(B7)," ",""))</f>
        <v>bananabread</v>
      </c>
    </row>
    <row r="8" spans="1:25">
      <c r="A8">
        <v>6</v>
      </c>
      <c r="B8" t="s">
        <v>32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5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-1</v>
      </c>
      <c r="R8" s="28">
        <v>-1</v>
      </c>
      <c r="S8" s="28">
        <v>-1</v>
      </c>
      <c r="T8" s="28">
        <v>-1</v>
      </c>
      <c r="U8" s="28">
        <v>-1</v>
      </c>
      <c r="V8" s="28">
        <v>-1</v>
      </c>
      <c r="W8" s="28">
        <v>-1</v>
      </c>
      <c r="X8" s="28">
        <v>-1</v>
      </c>
      <c r="Y8" t="str">
        <f t="shared" si="0"/>
        <v>savoycabbage</v>
      </c>
    </row>
    <row r="9" spans="1:25" s="29" customFormat="1">
      <c r="A9" s="29">
        <v>7</v>
      </c>
      <c r="B9" s="29" t="s">
        <v>110</v>
      </c>
      <c r="C9" s="29" t="s">
        <v>26</v>
      </c>
      <c r="D9" s="30">
        <v>7</v>
      </c>
      <c r="E9" s="30">
        <v>30</v>
      </c>
      <c r="F9" s="30">
        <v>85</v>
      </c>
      <c r="G9" s="30" t="s">
        <v>29</v>
      </c>
      <c r="H9" s="30">
        <v>31</v>
      </c>
      <c r="I9" s="30">
        <v>4</v>
      </c>
      <c r="J9" s="30">
        <v>4</v>
      </c>
      <c r="K9" s="30">
        <v>-1</v>
      </c>
      <c r="L9" s="30">
        <v>2</v>
      </c>
      <c r="M9" s="30">
        <v>4</v>
      </c>
      <c r="N9" s="30">
        <v>26</v>
      </c>
      <c r="O9" s="30">
        <v>36</v>
      </c>
      <c r="P9" s="30">
        <v>-1</v>
      </c>
      <c r="Q9" s="30">
        <v>2</v>
      </c>
      <c r="R9" s="30">
        <v>2</v>
      </c>
      <c r="S9" s="30">
        <v>3</v>
      </c>
      <c r="T9" s="30">
        <v>2</v>
      </c>
      <c r="U9" s="30">
        <v>1</v>
      </c>
      <c r="V9" s="30">
        <v>2</v>
      </c>
      <c r="W9" s="30">
        <v>4</v>
      </c>
      <c r="X9" s="30">
        <v>4</v>
      </c>
      <c r="Y9" s="29" t="str">
        <f t="shared" si="0"/>
        <v>butter</v>
      </c>
    </row>
    <row r="10" spans="1:25">
      <c r="A10">
        <v>8</v>
      </c>
      <c r="B10" t="s">
        <v>33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 s="29">
        <v>9</v>
      </c>
      <c r="B11" t="s">
        <v>34</v>
      </c>
      <c r="C11" t="s">
        <v>26</v>
      </c>
      <c r="D11" s="30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 s="29">
        <v>11</v>
      </c>
      <c r="B13" t="s">
        <v>36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37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 s="32" customFormat="1">
      <c r="A15" s="29">
        <v>13</v>
      </c>
      <c r="B15" s="32" t="s">
        <v>112</v>
      </c>
      <c r="C15" s="32" t="s">
        <v>26</v>
      </c>
      <c r="D15" s="30">
        <v>13</v>
      </c>
      <c r="E15" s="33">
        <v>60</v>
      </c>
      <c r="F15" s="33">
        <v>145</v>
      </c>
      <c r="G15" s="33" t="s">
        <v>38</v>
      </c>
      <c r="H15" s="33">
        <v>37</v>
      </c>
      <c r="I15" s="33">
        <v>4</v>
      </c>
      <c r="J15" s="33">
        <v>1</v>
      </c>
      <c r="K15" s="33">
        <v>-1</v>
      </c>
      <c r="L15" s="33">
        <v>1</v>
      </c>
      <c r="M15" s="33">
        <v>1</v>
      </c>
      <c r="N15" s="33">
        <v>32</v>
      </c>
      <c r="O15" s="33">
        <v>42</v>
      </c>
      <c r="P15" s="33">
        <v>1</v>
      </c>
      <c r="Q15" s="33">
        <v>11</v>
      </c>
      <c r="R15" s="33">
        <v>1</v>
      </c>
      <c r="S15" s="33">
        <v>-1</v>
      </c>
      <c r="T15" s="33">
        <v>0</v>
      </c>
      <c r="U15" s="33">
        <v>-1</v>
      </c>
      <c r="V15" s="33">
        <v>0</v>
      </c>
      <c r="W15" s="33">
        <v>-1</v>
      </c>
      <c r="X15" s="33">
        <v>0</v>
      </c>
      <c r="Y15" s="32" t="str">
        <f t="shared" si="0"/>
        <v>thingrass</v>
      </c>
    </row>
    <row r="16" spans="1:25" s="32" customFormat="1">
      <c r="A16">
        <v>14</v>
      </c>
      <c r="B16" s="32" t="s">
        <v>113</v>
      </c>
      <c r="C16" s="32" t="s">
        <v>26</v>
      </c>
      <c r="D16" s="28">
        <v>14</v>
      </c>
      <c r="E16" s="33">
        <v>65</v>
      </c>
      <c r="F16" s="33">
        <v>155</v>
      </c>
      <c r="G16" s="33" t="s">
        <v>38</v>
      </c>
      <c r="H16" s="33">
        <v>38</v>
      </c>
      <c r="I16" s="33">
        <v>4</v>
      </c>
      <c r="J16" s="33">
        <v>1</v>
      </c>
      <c r="K16" s="33">
        <v>-1</v>
      </c>
      <c r="L16" s="33">
        <v>1</v>
      </c>
      <c r="M16" s="33">
        <v>1</v>
      </c>
      <c r="N16" s="33">
        <v>33</v>
      </c>
      <c r="O16" s="33">
        <v>43</v>
      </c>
      <c r="P16" s="33">
        <v>1</v>
      </c>
      <c r="Q16" s="33">
        <v>11</v>
      </c>
      <c r="R16" s="33">
        <v>1</v>
      </c>
      <c r="S16" s="33">
        <v>-1</v>
      </c>
      <c r="T16" s="33">
        <v>0</v>
      </c>
      <c r="U16" s="33">
        <v>-1</v>
      </c>
      <c r="V16" s="33">
        <v>0</v>
      </c>
      <c r="W16" s="33">
        <v>-1</v>
      </c>
      <c r="X16" s="33">
        <v>0</v>
      </c>
      <c r="Y16" s="32" t="str">
        <f t="shared" si="0"/>
        <v>thickgrass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zoomScale="115" zoomScaleNormal="115" workbookViewId="0">
      <selection activeCell="B3" sqref="B3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  <c r="I1" t="s">
        <v>24</v>
      </c>
    </row>
    <row r="2" spans="1:9">
      <c r="A2">
        <v>0</v>
      </c>
      <c r="B2" t="s">
        <v>44</v>
      </c>
      <c r="C2" t="s">
        <v>45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46</v>
      </c>
      <c r="C3" t="s">
        <v>47</v>
      </c>
      <c r="D3" t="s">
        <v>38</v>
      </c>
      <c r="E3">
        <v>-1</v>
      </c>
      <c r="F3">
        <v>0.1</v>
      </c>
      <c r="G3">
        <v>2</v>
      </c>
      <c r="H3">
        <v>-1</v>
      </c>
      <c r="I3" t="str">
        <f t="shared" ref="I3:I12" si="0">LOWER(SUBSTITUTE(TRIM(B3)," ",""))</f>
        <v>grasstile</v>
      </c>
    </row>
    <row r="4" spans="1:9">
      <c r="A4">
        <v>2</v>
      </c>
      <c r="B4" t="s">
        <v>48</v>
      </c>
      <c r="C4" t="s">
        <v>49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89</v>
      </c>
      <c r="C5" t="s">
        <v>114</v>
      </c>
      <c r="D5" t="s">
        <v>29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51</v>
      </c>
      <c r="C6" t="s">
        <v>49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50</v>
      </c>
      <c r="C7" t="s">
        <v>49</v>
      </c>
      <c r="D7" t="s">
        <v>29</v>
      </c>
      <c r="E7">
        <v>50</v>
      </c>
      <c r="F7">
        <v>160</v>
      </c>
      <c r="G7">
        <v>2</v>
      </c>
      <c r="H7">
        <v>1</v>
      </c>
      <c r="I7" t="str">
        <f t="shared" si="0"/>
        <v>feedmill</v>
      </c>
    </row>
    <row r="8" spans="1:9">
      <c r="A8">
        <v>6</v>
      </c>
      <c r="B8" t="s">
        <v>52</v>
      </c>
      <c r="C8" t="s">
        <v>49</v>
      </c>
      <c r="D8" t="s">
        <v>29</v>
      </c>
      <c r="E8">
        <v>350</v>
      </c>
      <c r="F8">
        <v>360</v>
      </c>
      <c r="G8">
        <v>2</v>
      </c>
      <c r="H8">
        <v>1</v>
      </c>
      <c r="I8" t="str">
        <f t="shared" si="0"/>
        <v>sugarmill</v>
      </c>
    </row>
    <row r="9" spans="1:9">
      <c r="A9">
        <v>7</v>
      </c>
      <c r="B9" t="s">
        <v>53</v>
      </c>
      <c r="C9" t="s">
        <v>49</v>
      </c>
      <c r="D9" t="s">
        <v>29</v>
      </c>
      <c r="E9">
        <v>650</v>
      </c>
      <c r="F9">
        <v>480</v>
      </c>
      <c r="G9">
        <v>2</v>
      </c>
      <c r="H9">
        <v>1</v>
      </c>
      <c r="I9" t="str">
        <f t="shared" si="0"/>
        <v>popcornpot</v>
      </c>
    </row>
    <row r="10" spans="1:9">
      <c r="A10">
        <v>8</v>
      </c>
      <c r="B10" t="s">
        <v>54</v>
      </c>
      <c r="C10" t="s">
        <v>49</v>
      </c>
      <c r="D10" t="s">
        <v>29</v>
      </c>
      <c r="E10">
        <v>730</v>
      </c>
      <c r="F10">
        <v>480</v>
      </c>
      <c r="G10">
        <v>2</v>
      </c>
      <c r="H10">
        <v>1</v>
      </c>
      <c r="I10" t="str">
        <f t="shared" si="0"/>
        <v>bbqgrill</v>
      </c>
    </row>
    <row r="11" spans="1:9">
      <c r="A11">
        <v>9</v>
      </c>
      <c r="B11" t="s">
        <v>55</v>
      </c>
      <c r="C11" t="s">
        <v>49</v>
      </c>
      <c r="D11" t="s">
        <v>29</v>
      </c>
      <c r="E11">
        <v>2200</v>
      </c>
      <c r="F11">
        <v>720</v>
      </c>
      <c r="G11">
        <v>2</v>
      </c>
      <c r="H11">
        <v>1</v>
      </c>
      <c r="I11" t="str">
        <f t="shared" si="0"/>
        <v>pieoven</v>
      </c>
    </row>
    <row r="12" spans="1:9">
      <c r="A12">
        <v>10</v>
      </c>
      <c r="B12" t="s">
        <v>56</v>
      </c>
      <c r="C12" t="s">
        <v>49</v>
      </c>
      <c r="D12" t="s">
        <v>29</v>
      </c>
      <c r="E12">
        <v>3200</v>
      </c>
      <c r="F12">
        <v>1440</v>
      </c>
      <c r="G12">
        <v>2</v>
      </c>
      <c r="H12">
        <v>1</v>
      </c>
      <c r="I12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B2:B101</xm:sqref>
        </x14:dataValidation>
        <x14:dataValidation type="list" allowBlank="1" showInputMessage="1" showErrorMessage="1">
          <x14:formula1>
            <xm:f>ZConfig!$B$4:$B$8</xm:f>
          </x14:formula1>
          <xm:sqref>D2:D12</xm:sqref>
        </x14:dataValidation>
        <x14:dataValidation type="list" allowBlank="1" showInputMessage="1" showErrorMessage="1">
          <x14:formula1>
            <xm:f>ZConfig!$B$4:$B$7</xm:f>
          </x14:formula1>
          <xm:sqref>D13:D101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D1" sqref="D1:D1048576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57</v>
      </c>
      <c r="B1" t="s">
        <v>58</v>
      </c>
      <c r="C1" s="20" t="s">
        <v>59</v>
      </c>
      <c r="D1" t="s">
        <v>60</v>
      </c>
      <c r="E1" t="s">
        <v>61</v>
      </c>
      <c r="F1" t="s">
        <v>62</v>
      </c>
      <c r="G1" s="20" t="s">
        <v>63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A17" sqref="A17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64</v>
      </c>
      <c r="B1" s="2" t="s">
        <v>108</v>
      </c>
      <c r="C1" s="6" t="s">
        <v>66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67</v>
      </c>
    </row>
    <row r="2" spans="1:41">
      <c r="D2" s="5" t="s">
        <v>68</v>
      </c>
      <c r="E2" s="8" t="s">
        <v>69</v>
      </c>
      <c r="F2" s="9" t="s">
        <v>70</v>
      </c>
      <c r="G2" s="5" t="s">
        <v>71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72</v>
      </c>
    </row>
    <row r="3" spans="1:41">
      <c r="A3" s="10" t="s">
        <v>73</v>
      </c>
      <c r="B3" s="2" t="s">
        <v>74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75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76</v>
      </c>
      <c r="B4" s="2" t="s">
        <v>77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48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78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54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79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80</v>
      </c>
      <c r="B7" s="2" t="s">
        <v>81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82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83</v>
      </c>
      <c r="B8" s="14" t="s">
        <v>38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84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85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34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86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87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88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35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89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90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91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37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51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92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50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44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93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94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46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95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96</v>
      </c>
      <c r="B21" s="2" t="s">
        <v>65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97</v>
      </c>
      <c r="B22" s="2" t="s">
        <v>108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98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99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56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102</v>
      </c>
      <c r="E28" s="8"/>
      <c r="F28" s="9"/>
      <c r="K28" s="20"/>
    </row>
    <row r="29" spans="1:11">
      <c r="A29" s="10" t="s">
        <v>55</v>
      </c>
      <c r="K29" s="20"/>
    </row>
    <row r="30" spans="1:11">
      <c r="A30" s="10" t="s">
        <v>103</v>
      </c>
      <c r="K30" s="20"/>
    </row>
    <row r="31" spans="1:11">
      <c r="A31" s="10" t="s">
        <v>53</v>
      </c>
      <c r="K31" s="20"/>
    </row>
    <row r="32" spans="1:11">
      <c r="A32" s="10" t="s">
        <v>104</v>
      </c>
      <c r="K32" s="20"/>
    </row>
    <row r="33" spans="1:11">
      <c r="A33" s="10" t="s">
        <v>105</v>
      </c>
      <c r="K33" s="20"/>
    </row>
    <row r="34" spans="1:11">
      <c r="A34" s="10" t="s">
        <v>106</v>
      </c>
      <c r="K34" s="20"/>
    </row>
    <row r="35" spans="1:11">
      <c r="A35" s="10" t="s">
        <v>107</v>
      </c>
      <c r="K35" s="20"/>
    </row>
    <row r="36" spans="1:11">
      <c r="A36" s="10" t="s">
        <v>52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2018-04-02T16:45:06Z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