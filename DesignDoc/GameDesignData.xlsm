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 activeTab="2"/>
  </bookViews>
  <sheets>
    <sheet name="Items" sheetId="1" r:id="rId1"/>
    <sheet name="Minerals" sheetId="5" r:id="rId2"/>
    <sheet name="Source" sheetId="2" r:id="rId3"/>
    <sheet name="LevelUp" sheetId="3" r:id="rId4"/>
    <sheet name="ZConfig" sheetId="4" r:id="rId5"/>
  </sheets>
  <definedNames>
    <definedName name="_xlnm._FilterDatabase" localSheetId="3" hidden="1">LevelUp!$A$1:$G$26</definedName>
  </definedNames>
  <calcPr calcId="152511"/>
</workbook>
</file>

<file path=xl/calcChain.xml><?xml version="1.0" encoding="utf-8"?>
<calcChain xmlns="http://schemas.openxmlformats.org/spreadsheetml/2006/main">
  <c r="I15" i="2" l="1"/>
  <c r="Y25" i="1"/>
  <c r="I3" i="5"/>
  <c r="I4" i="5"/>
  <c r="I2" i="5"/>
  <c r="Y13" i="1" l="1"/>
  <c r="I14" i="2"/>
  <c r="Y23" i="1"/>
  <c r="Y24" i="1"/>
  <c r="F42" i="4" l="1"/>
  <c r="G42" i="4"/>
  <c r="B41" i="3" s="1"/>
  <c r="F43" i="4"/>
  <c r="G43" i="4" s="1"/>
  <c r="B42" i="3" s="1"/>
  <c r="F44" i="4"/>
  <c r="G44" i="4"/>
  <c r="F45" i="4"/>
  <c r="G45" i="4"/>
  <c r="B44" i="3" s="1"/>
  <c r="F46" i="4"/>
  <c r="G46" i="4"/>
  <c r="F47" i="4"/>
  <c r="G47" i="4"/>
  <c r="B46" i="3" s="1"/>
  <c r="F48" i="4"/>
  <c r="G48" i="4"/>
  <c r="B47" i="3" s="1"/>
  <c r="F49" i="4"/>
  <c r="G49" i="4"/>
  <c r="B48" i="3" s="1"/>
  <c r="F50" i="4"/>
  <c r="G50" i="4"/>
  <c r="B49" i="3" s="1"/>
  <c r="F51" i="4"/>
  <c r="G51" i="4"/>
  <c r="F52" i="4"/>
  <c r="G52" i="4"/>
  <c r="F53" i="4"/>
  <c r="G53" i="4"/>
  <c r="F54" i="4"/>
  <c r="G54" i="4"/>
  <c r="F55" i="4"/>
  <c r="G55" i="4"/>
  <c r="B45" i="3"/>
  <c r="B50" i="3"/>
  <c r="F28" i="4"/>
  <c r="G28" i="4" s="1"/>
  <c r="F29" i="4"/>
  <c r="G29" i="4"/>
  <c r="F30" i="4"/>
  <c r="G30" i="4" s="1"/>
  <c r="F31" i="4"/>
  <c r="G31" i="4"/>
  <c r="F32" i="4"/>
  <c r="G32" i="4" s="1"/>
  <c r="F33" i="4"/>
  <c r="G33" i="4"/>
  <c r="F34" i="4"/>
  <c r="G34" i="4" s="1"/>
  <c r="F35" i="4"/>
  <c r="G35" i="4"/>
  <c r="F36" i="4"/>
  <c r="G36" i="4" s="1"/>
  <c r="F37" i="4"/>
  <c r="G37" i="4"/>
  <c r="F38" i="4"/>
  <c r="G38" i="4" s="1"/>
  <c r="F39" i="4"/>
  <c r="G39" i="4"/>
  <c r="B38" i="3" s="1"/>
  <c r="F40" i="4"/>
  <c r="G40" i="4" s="1"/>
  <c r="B39" i="3" s="1"/>
  <c r="F41" i="4"/>
  <c r="G41" i="4"/>
  <c r="B40" i="3" s="1"/>
  <c r="B43" i="3"/>
  <c r="Y18" i="1"/>
  <c r="Y19" i="1"/>
  <c r="Y20" i="1"/>
  <c r="Y21" i="1"/>
  <c r="Y22" i="1"/>
  <c r="I7" i="2" l="1"/>
  <c r="I3" i="2" l="1"/>
  <c r="I4" i="2"/>
  <c r="I5" i="2"/>
  <c r="I6" i="2"/>
  <c r="I8" i="2"/>
  <c r="I9" i="2"/>
  <c r="I10" i="2"/>
  <c r="I11" i="2"/>
  <c r="I12" i="2"/>
  <c r="I13" i="2"/>
  <c r="Y5" i="1" l="1"/>
  <c r="Y6" i="1"/>
  <c r="Y7" i="1" l="1"/>
  <c r="Y12" i="1"/>
  <c r="G27" i="4" l="1"/>
  <c r="F27" i="4"/>
  <c r="F26" i="4"/>
  <c r="G26" i="4" s="1"/>
  <c r="G25" i="4"/>
  <c r="F25" i="4"/>
  <c r="G24" i="4"/>
  <c r="F24" i="4"/>
  <c r="G23" i="4"/>
  <c r="F23" i="4"/>
  <c r="F22" i="4"/>
  <c r="G22" i="4" s="1"/>
  <c r="F21" i="4"/>
  <c r="G21" i="4" s="1"/>
  <c r="G20" i="4"/>
  <c r="F20" i="4"/>
  <c r="G19" i="4"/>
  <c r="F19" i="4"/>
  <c r="F18" i="4"/>
  <c r="G18" i="4" s="1"/>
  <c r="F17" i="4"/>
  <c r="G17" i="4" s="1"/>
  <c r="G16" i="4"/>
  <c r="F16" i="4"/>
  <c r="G15" i="4"/>
  <c r="F15" i="4"/>
  <c r="F14" i="4"/>
  <c r="G14" i="4" s="1"/>
  <c r="F13" i="4"/>
  <c r="G13" i="4" s="1"/>
  <c r="G12" i="4"/>
  <c r="F12" i="4"/>
  <c r="G11" i="4"/>
  <c r="F11" i="4"/>
  <c r="F10" i="4"/>
  <c r="G10" i="4" s="1"/>
  <c r="F9" i="4"/>
  <c r="G9" i="4" s="1"/>
  <c r="G8" i="4"/>
  <c r="F8" i="4"/>
  <c r="G7" i="4"/>
  <c r="F7" i="4"/>
  <c r="F6" i="4"/>
  <c r="G6" i="4" s="1"/>
  <c r="F5" i="4"/>
  <c r="G5" i="4" s="1"/>
  <c r="G4" i="4"/>
  <c r="F4" i="4"/>
  <c r="F3" i="4"/>
  <c r="I2" i="2"/>
  <c r="Y17" i="1"/>
  <c r="Y16" i="1"/>
  <c r="Y15" i="1"/>
  <c r="Y14" i="1"/>
  <c r="Y11" i="1"/>
  <c r="Y10" i="1"/>
  <c r="Y9" i="1"/>
  <c r="Y8" i="1"/>
  <c r="Y4" i="1"/>
  <c r="Y3" i="1"/>
  <c r="Y2" i="1"/>
</calcChain>
</file>

<file path=xl/sharedStrings.xml><?xml version="1.0" encoding="utf-8"?>
<sst xmlns="http://schemas.openxmlformats.org/spreadsheetml/2006/main" count="254" uniqueCount="128">
  <si>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</si>
  <si>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</si>
  <si>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</si>
  <si>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</si>
  <si>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</si>
  <si>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</si>
  <si>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</si>
  <si>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</si>
  <si>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</si>
  <si>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</si>
  <si>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</si>
  <si>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</si>
  <si>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</si>
  <si>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</si>
  <si>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</si>
  <si>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</si>
  <si>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</si>
  <si>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</si>
  <si>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</si>
  <si>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</si>
  <si>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</si>
  <si>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</si>
  <si>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</si>
  <si>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</si>
  <si>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</si>
  <si>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</si>
  <si>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</si>
  <si>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</si>
  <si>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</si>
  <si>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</si>
  <si>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</si>
  <si>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</si>
  <si>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Strawberry</t>
  </si>
  <si>
    <t>Pumpkin</t>
  </si>
  <si>
    <t>Chili Pepper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</si>
  <si>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</si>
  <si>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</si>
  <si>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</si>
  <si>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</si>
  <si>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</si>
  <si>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</si>
  <si>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</si>
  <si>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</si>
  <si>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</si>
  <si>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</si>
  <si>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</si>
  <si>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</si>
  <si>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</si>
  <si>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</si>
  <si>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</si>
  <si>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</si>
  <si>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</si>
  <si>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</si>
  <si>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</si>
  <si>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</si>
  <si>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</si>
  <si>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</si>
  <si>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</si>
  <si>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</si>
  <si>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</si>
  <si>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</si>
  <si>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</si>
  <si>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</si>
  <si>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</si>
  <si>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</si>
  <si>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</si>
  <si>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</si>
  <si>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</si>
  <si>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</si>
  <si>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</si>
  <si>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</si>
  <si>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</si>
  <si>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</si>
  <si>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</si>
  <si>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</si>
  <si>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</si>
  <si>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</si>
  <si>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</si>
  <si>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</si>
  <si>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</si>
  <si>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</si>
  <si>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</si>
  <si>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</si>
  <si>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</si>
  <si>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</si>
  <si>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</si>
  <si>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</si>
  <si>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</si>
  <si>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</si>
  <si>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</si>
  <si>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</si>
  <si>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</si>
  <si>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</si>
  <si>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</si>
  <si>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</si>
  <si>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</si>
  <si>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</si>
  <si>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</si>
  <si>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</si>
  <si>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</si>
  <si>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</si>
  <si>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</si>
  <si>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</si>
  <si>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</si>
  <si>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</si>
  <si>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</si>
  <si>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Butter</t>
  </si>
  <si>
    <t>Basic Grass</t>
  </si>
  <si>
    <t>Thin Grass</t>
  </si>
  <si>
    <t>Thick Grass</t>
  </si>
  <si>
    <t>Animals</t>
  </si>
  <si>
    <t>Egg</t>
  </si>
  <si>
    <t>Milk</t>
  </si>
  <si>
    <t>Corn Bread</t>
  </si>
  <si>
    <t>Fish Fillet</t>
  </si>
  <si>
    <t>fish</t>
  </si>
  <si>
    <t>Golden Fish</t>
  </si>
  <si>
    <t>hits</t>
  </si>
  <si>
    <t>Enterance</t>
  </si>
  <si>
    <t>Mine Spawn position</t>
  </si>
  <si>
    <t>outputId</t>
  </si>
  <si>
    <t>Basic Boulder</t>
  </si>
  <si>
    <t>Stone</t>
  </si>
  <si>
    <t>Minerals</t>
  </si>
  <si>
    <t>Mines</t>
  </si>
  <si>
    <t>Basic Boulder Dark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</si>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</sst>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2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6" fillId="0" borderId="0" xfId="0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0" borderId="0" xfId="0" applyFill="1" applyAlignment="1"/>
    <xf numFmtId="0" fontId="0" fillId="4" borderId="0" xfId="0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vertical="center"/>
    </xf>
    <xf numFmtId="0" fontId="1" fillId="0" borderId="0" xfId="0" applyFont="1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 applyAlignment="1"/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3619500</xdr:colOff>
          <xdr:row>5</xdr:row>
          <xdr:rowOff>161925</xdr:rowOff>
        </xdr:from>
        <xdr:to>
          <xdr:col>3</xdr:col>
          <xdr:colOff>19050</xdr:colOff>
          <xdr:row>11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25"/>
  <sheetViews>
    <sheetView zoomScale="115" zoomScaleNormal="115" workbookViewId="0">
      <pane ySplit="1" topLeftCell="A2" activePane="bottomLeft" state="frozen"/>
      <selection pane="bottomLeft" activeCell="B25" sqref="B25"/>
    </sheetView>
  </sheetViews>
  <sheetFormatPr defaultColWidth="4.140625" defaultRowHeight="15"/>
  <cols>
    <col min="1" max="1" width="3.5703125" style="17" customWidth="1"/>
    <col min="2" max="2" width="20.42578125" style="19" customWidth="1"/>
    <col min="3" max="3" width="8.42578125" style="19" customWidth="1"/>
    <col min="4" max="4" width="11.140625" style="26" customWidth="1"/>
    <col min="5" max="5" width="14.7109375" style="26" customWidth="1"/>
    <col min="6" max="6" width="7" style="26" customWidth="1"/>
    <col min="7" max="7" width="15" style="26" customWidth="1"/>
    <col min="8" max="8" width="8.5703125" style="26" bestFit="1" customWidth="1"/>
    <col min="9" max="9" width="8.7109375" style="26" customWidth="1"/>
    <col min="10" max="10" width="8.7109375" style="37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43" customWidth="1"/>
    <col min="26" max="16384" width="4.140625" style="17"/>
  </cols>
  <sheetData>
    <row r="1" spans="1:25" s="38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36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39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37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s="39" t="str">
        <f>LOWER(SUBSTITUTE(TRIM(B2)," ",""))</f>
        <v>wheat</v>
      </c>
    </row>
    <row r="3" spans="1:25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7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40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37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s="39" t="str">
        <f t="shared" ref="Y4:Y17" si="0">LOWER(SUBSTITUTE(TRIM(B4)," ",""))</f>
        <v>corn</v>
      </c>
    </row>
    <row r="5" spans="1:25">
      <c r="A5" s="29">
        <v>3</v>
      </c>
      <c r="B5" s="32" t="s">
        <v>108</v>
      </c>
      <c r="C5" s="32" t="s">
        <v>26</v>
      </c>
      <c r="D5" s="30">
        <v>3</v>
      </c>
      <c r="E5" s="33">
        <v>15</v>
      </c>
      <c r="F5" s="33">
        <v>55</v>
      </c>
      <c r="G5" s="33" t="s">
        <v>36</v>
      </c>
      <c r="H5" s="33">
        <v>10</v>
      </c>
      <c r="I5" s="33">
        <v>5</v>
      </c>
      <c r="J5" s="37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41" t="str">
        <f t="shared" si="0"/>
        <v>thingrass</v>
      </c>
    </row>
    <row r="6" spans="1:25">
      <c r="A6">
        <v>4</v>
      </c>
      <c r="B6" s="34" t="s">
        <v>111</v>
      </c>
      <c r="C6" s="34" t="s">
        <v>26</v>
      </c>
      <c r="D6" s="28">
        <v>4</v>
      </c>
      <c r="E6" s="35">
        <v>5</v>
      </c>
      <c r="F6" s="35">
        <v>25</v>
      </c>
      <c r="G6" s="35" t="s">
        <v>75</v>
      </c>
      <c r="H6" s="35">
        <v>27</v>
      </c>
      <c r="I6" s="35">
        <v>4</v>
      </c>
      <c r="J6" s="37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4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42" t="str">
        <f t="shared" ref="Y6" si="1">LOWER(SUBSTITUTE(TRIM(B6)," ",""))</f>
        <v>egg</v>
      </c>
    </row>
    <row r="7" spans="1:25">
      <c r="A7" s="29">
        <v>5</v>
      </c>
      <c r="B7" s="31" t="s">
        <v>113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7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0</v>
      </c>
      <c r="T7" s="30">
        <v>2</v>
      </c>
      <c r="U7" s="30">
        <v>-1</v>
      </c>
      <c r="V7" s="30">
        <v>-1</v>
      </c>
      <c r="W7" s="30">
        <v>-1</v>
      </c>
      <c r="X7" s="30">
        <v>-1</v>
      </c>
      <c r="Y7" s="40" t="str">
        <f>LOWER(SUBSTITUTE(TRIM(B7)," ",""))</f>
        <v>cornbread</v>
      </c>
    </row>
    <row r="8" spans="1:25">
      <c r="A8">
        <v>6</v>
      </c>
      <c r="B8" s="34" t="s">
        <v>112</v>
      </c>
      <c r="C8" s="34" t="s">
        <v>26</v>
      </c>
      <c r="D8" s="28">
        <v>6</v>
      </c>
      <c r="E8" s="35">
        <v>5</v>
      </c>
      <c r="F8" s="35">
        <v>75</v>
      </c>
      <c r="G8" s="35" t="s">
        <v>75</v>
      </c>
      <c r="H8" s="35">
        <v>30</v>
      </c>
      <c r="I8" s="35">
        <v>4</v>
      </c>
      <c r="J8" s="37">
        <v>5</v>
      </c>
      <c r="K8" s="35">
        <v>-1</v>
      </c>
      <c r="L8" s="35">
        <v>2</v>
      </c>
      <c r="M8" s="35">
        <v>4</v>
      </c>
      <c r="N8" s="35">
        <v>25</v>
      </c>
      <c r="O8" s="35">
        <v>35</v>
      </c>
      <c r="P8" s="35">
        <v>-1</v>
      </c>
      <c r="Q8" s="35">
        <v>8</v>
      </c>
      <c r="R8" s="35">
        <v>5</v>
      </c>
      <c r="S8" s="35">
        <v>-1</v>
      </c>
      <c r="T8" s="35">
        <v>-1</v>
      </c>
      <c r="U8" s="35">
        <v>-1</v>
      </c>
      <c r="V8" s="35">
        <v>-1</v>
      </c>
      <c r="W8" s="35">
        <v>-1</v>
      </c>
      <c r="X8" s="35">
        <v>-1</v>
      </c>
      <c r="Y8" s="42" t="str">
        <f t="shared" si="0"/>
        <v>milk</v>
      </c>
    </row>
    <row r="9" spans="1:25">
      <c r="A9" s="29">
        <v>7</v>
      </c>
      <c r="B9" s="17" t="s">
        <v>106</v>
      </c>
      <c r="C9" s="17" t="s">
        <v>26</v>
      </c>
      <c r="D9" s="30">
        <v>7</v>
      </c>
      <c r="E9" s="26">
        <v>30</v>
      </c>
      <c r="F9" s="26">
        <v>85</v>
      </c>
      <c r="G9" s="26" t="s">
        <v>29</v>
      </c>
      <c r="H9" s="26">
        <v>31</v>
      </c>
      <c r="I9" s="26">
        <v>4</v>
      </c>
      <c r="J9" s="37">
        <v>4</v>
      </c>
      <c r="K9" s="26">
        <v>-1</v>
      </c>
      <c r="L9" s="26">
        <v>1</v>
      </c>
      <c r="M9" s="26">
        <v>1</v>
      </c>
      <c r="N9" s="26">
        <v>26</v>
      </c>
      <c r="O9" s="26">
        <v>36</v>
      </c>
      <c r="P9" s="26">
        <v>-1</v>
      </c>
      <c r="Q9" s="26">
        <v>6</v>
      </c>
      <c r="R9" s="26">
        <v>2</v>
      </c>
      <c r="S9" s="26">
        <v>-1</v>
      </c>
      <c r="T9" s="26">
        <v>-1</v>
      </c>
      <c r="U9" s="26">
        <v>-1</v>
      </c>
      <c r="V9" s="26">
        <v>-1</v>
      </c>
      <c r="W9" s="26">
        <v>-1</v>
      </c>
      <c r="X9" s="26">
        <v>-1</v>
      </c>
      <c r="Y9" s="43" t="str">
        <f t="shared" si="0"/>
        <v>butter</v>
      </c>
    </row>
    <row r="10" spans="1:25">
      <c r="A10">
        <v>8</v>
      </c>
      <c r="B10" s="32" t="s">
        <v>107</v>
      </c>
      <c r="C10" s="32" t="s">
        <v>26</v>
      </c>
      <c r="D10" s="28">
        <v>8</v>
      </c>
      <c r="E10" s="33">
        <v>60</v>
      </c>
      <c r="F10" s="33">
        <v>145</v>
      </c>
      <c r="G10" s="33" t="s">
        <v>36</v>
      </c>
      <c r="H10" s="33">
        <v>37</v>
      </c>
      <c r="I10" s="33">
        <v>4</v>
      </c>
      <c r="J10" s="37">
        <v>1</v>
      </c>
      <c r="K10" s="33">
        <v>-1</v>
      </c>
      <c r="L10" s="33">
        <v>1</v>
      </c>
      <c r="M10" s="33">
        <v>1</v>
      </c>
      <c r="N10" s="33">
        <v>32</v>
      </c>
      <c r="O10" s="33">
        <v>42</v>
      </c>
      <c r="P10" s="33">
        <v>1</v>
      </c>
      <c r="Q10" s="33">
        <v>11</v>
      </c>
      <c r="R10" s="33">
        <v>1</v>
      </c>
      <c r="S10" s="33">
        <v>-1</v>
      </c>
      <c r="T10" s="33">
        <v>0</v>
      </c>
      <c r="U10" s="33">
        <v>-1</v>
      </c>
      <c r="V10" s="33">
        <v>0</v>
      </c>
      <c r="W10" s="33">
        <v>-1</v>
      </c>
      <c r="X10" s="33">
        <v>0</v>
      </c>
      <c r="Y10" s="44" t="str">
        <f t="shared" si="0"/>
        <v>basicgrass</v>
      </c>
    </row>
    <row r="11" spans="1:25" s="45" customFormat="1">
      <c r="A11" s="29">
        <v>9</v>
      </c>
      <c r="B11" s="45" t="s">
        <v>114</v>
      </c>
      <c r="C11" s="45" t="s">
        <v>26</v>
      </c>
      <c r="D11" s="30">
        <v>9</v>
      </c>
      <c r="E11" s="46">
        <v>65</v>
      </c>
      <c r="F11" s="46">
        <v>155</v>
      </c>
      <c r="G11" s="46" t="s">
        <v>75</v>
      </c>
      <c r="H11" s="46">
        <v>38</v>
      </c>
      <c r="I11" s="46">
        <v>4</v>
      </c>
      <c r="J11" s="46">
        <v>12</v>
      </c>
      <c r="K11" s="46">
        <v>-1</v>
      </c>
      <c r="L11" s="46">
        <v>1</v>
      </c>
      <c r="M11" s="46">
        <v>1</v>
      </c>
      <c r="N11" s="46">
        <v>33</v>
      </c>
      <c r="O11" s="46">
        <v>43</v>
      </c>
      <c r="P11" s="46">
        <v>-1</v>
      </c>
      <c r="Q11" s="46">
        <v>-1</v>
      </c>
      <c r="R11" s="46">
        <v>-1</v>
      </c>
      <c r="S11" s="46">
        <v>-1</v>
      </c>
      <c r="T11" s="46">
        <v>-1</v>
      </c>
      <c r="U11" s="46">
        <v>-1</v>
      </c>
      <c r="V11" s="46">
        <v>-1</v>
      </c>
      <c r="W11" s="46">
        <v>-1</v>
      </c>
      <c r="X11" s="46">
        <v>-1</v>
      </c>
      <c r="Y11" s="47" t="str">
        <f t="shared" si="0"/>
        <v>fishfillet</v>
      </c>
    </row>
    <row r="12" spans="1:25" s="49" customFormat="1">
      <c r="A12" s="49">
        <v>10</v>
      </c>
      <c r="B12" s="49" t="s">
        <v>116</v>
      </c>
      <c r="C12" s="49" t="s">
        <v>26</v>
      </c>
      <c r="D12" s="50">
        <v>10</v>
      </c>
      <c r="E12" s="50">
        <v>45</v>
      </c>
      <c r="F12" s="50">
        <v>115</v>
      </c>
      <c r="G12" s="50" t="s">
        <v>91</v>
      </c>
      <c r="H12" s="50">
        <v>39</v>
      </c>
      <c r="I12" s="50">
        <v>4</v>
      </c>
      <c r="J12" s="50">
        <v>12</v>
      </c>
      <c r="K12" s="50">
        <v>-1</v>
      </c>
      <c r="L12" s="50">
        <v>1</v>
      </c>
      <c r="M12" s="50">
        <v>1</v>
      </c>
      <c r="N12" s="50">
        <v>29</v>
      </c>
      <c r="O12" s="50">
        <v>39</v>
      </c>
      <c r="P12" s="50">
        <v>-1</v>
      </c>
      <c r="Q12" s="50">
        <v>-1</v>
      </c>
      <c r="R12" s="50">
        <v>-1</v>
      </c>
      <c r="S12" s="50">
        <v>-1</v>
      </c>
      <c r="T12" s="50">
        <v>-1</v>
      </c>
      <c r="U12" s="50">
        <v>-1</v>
      </c>
      <c r="V12" s="50">
        <v>-1</v>
      </c>
      <c r="W12" s="50">
        <v>-1</v>
      </c>
      <c r="X12" s="50">
        <v>-1</v>
      </c>
      <c r="Y12" s="51" t="str">
        <f>LOWER(SUBSTITUTE(TRIM(B12)," ",""))</f>
        <v>goldenfish</v>
      </c>
    </row>
    <row r="13" spans="1:25">
      <c r="A13" s="29">
        <v>11</v>
      </c>
      <c r="B13" t="s">
        <v>31</v>
      </c>
      <c r="C13" t="s">
        <v>26</v>
      </c>
      <c r="D13" s="30">
        <v>11</v>
      </c>
      <c r="E13" s="28">
        <v>45</v>
      </c>
      <c r="F13" s="28">
        <v>115</v>
      </c>
      <c r="G13" s="28" t="s">
        <v>27</v>
      </c>
      <c r="H13" s="33">
        <v>39</v>
      </c>
      <c r="I13" s="28">
        <v>4</v>
      </c>
      <c r="J13" s="37">
        <v>0</v>
      </c>
      <c r="K13" s="26">
        <v>3</v>
      </c>
      <c r="L13" s="26">
        <v>2</v>
      </c>
      <c r="M13" s="26">
        <v>4</v>
      </c>
      <c r="N13" s="26">
        <v>29</v>
      </c>
      <c r="O13" s="28">
        <v>39</v>
      </c>
      <c r="P13" s="26">
        <v>6</v>
      </c>
      <c r="Q13" s="28">
        <v>-1</v>
      </c>
      <c r="R13" s="28">
        <v>-1</v>
      </c>
      <c r="S13" s="28">
        <v>-1</v>
      </c>
      <c r="T13" s="28">
        <v>-1</v>
      </c>
      <c r="U13" s="28">
        <v>-1</v>
      </c>
      <c r="V13" s="28">
        <v>-1</v>
      </c>
      <c r="W13" s="28">
        <v>-1</v>
      </c>
      <c r="X13" s="28">
        <v>-1</v>
      </c>
      <c r="Y13" s="39" t="str">
        <f>LOWER(SUBSTITUTE(TRIM(B13)," ",""))</f>
        <v>redcabbage</v>
      </c>
    </row>
    <row r="14" spans="1:25">
      <c r="A14">
        <v>12</v>
      </c>
      <c r="B14" s="19" t="s">
        <v>88</v>
      </c>
      <c r="C14" t="s">
        <v>26</v>
      </c>
      <c r="D14" s="28">
        <v>12</v>
      </c>
      <c r="E14" s="28">
        <v>50</v>
      </c>
      <c r="F14" s="28">
        <v>125</v>
      </c>
      <c r="G14" s="28" t="s">
        <v>27</v>
      </c>
      <c r="H14" s="33">
        <v>40</v>
      </c>
      <c r="I14" s="28">
        <v>4</v>
      </c>
      <c r="J14" s="37">
        <v>0</v>
      </c>
      <c r="K14" s="26">
        <v>5</v>
      </c>
      <c r="L14" s="26">
        <v>2</v>
      </c>
      <c r="M14" s="26">
        <v>4</v>
      </c>
      <c r="N14" s="26">
        <v>30</v>
      </c>
      <c r="O14" s="28">
        <v>40</v>
      </c>
      <c r="P14" s="26">
        <v>7</v>
      </c>
      <c r="Q14" s="28">
        <v>-1</v>
      </c>
      <c r="R14" s="28">
        <v>-1</v>
      </c>
      <c r="S14" s="28">
        <v>-1</v>
      </c>
      <c r="T14" s="28">
        <v>-1</v>
      </c>
      <c r="U14" s="28">
        <v>-1</v>
      </c>
      <c r="V14" s="28">
        <v>-1</v>
      </c>
      <c r="W14" s="28">
        <v>-1</v>
      </c>
      <c r="X14" s="28">
        <v>-1</v>
      </c>
      <c r="Y14" s="39" t="str">
        <f t="shared" si="0"/>
        <v>potatoes</v>
      </c>
    </row>
    <row r="15" spans="1:25">
      <c r="A15" s="29">
        <v>13</v>
      </c>
      <c r="B15" t="s">
        <v>35</v>
      </c>
      <c r="C15" t="s">
        <v>26</v>
      </c>
      <c r="D15" s="30">
        <v>13</v>
      </c>
      <c r="E15" s="28">
        <v>55</v>
      </c>
      <c r="F15" s="28">
        <v>135</v>
      </c>
      <c r="G15" s="28" t="s">
        <v>27</v>
      </c>
      <c r="H15" s="33">
        <v>41</v>
      </c>
      <c r="I15" s="28">
        <v>4</v>
      </c>
      <c r="J15" s="37">
        <v>0</v>
      </c>
      <c r="K15" s="26">
        <v>6</v>
      </c>
      <c r="L15" s="26">
        <v>2</v>
      </c>
      <c r="M15" s="26">
        <v>4</v>
      </c>
      <c r="N15" s="26">
        <v>31</v>
      </c>
      <c r="O15" s="28">
        <v>41</v>
      </c>
      <c r="P15" s="26">
        <v>7</v>
      </c>
      <c r="Q15" s="28">
        <v>-1</v>
      </c>
      <c r="R15" s="28">
        <v>-1</v>
      </c>
      <c r="S15" s="28">
        <v>-1</v>
      </c>
      <c r="T15" s="28">
        <v>-1</v>
      </c>
      <c r="U15" s="28">
        <v>-1</v>
      </c>
      <c r="V15" s="28">
        <v>-1</v>
      </c>
      <c r="W15" s="28">
        <v>-1</v>
      </c>
      <c r="X15" s="28">
        <v>-1</v>
      </c>
      <c r="Y15" s="39" t="str">
        <f t="shared" si="0"/>
        <v>tomato</v>
      </c>
    </row>
    <row r="16" spans="1:25">
      <c r="A16">
        <v>14</v>
      </c>
      <c r="B16" t="s">
        <v>32</v>
      </c>
      <c r="C16" t="s">
        <v>26</v>
      </c>
      <c r="D16" s="28">
        <v>14</v>
      </c>
      <c r="E16" s="28">
        <v>35</v>
      </c>
      <c r="F16" s="28">
        <v>145</v>
      </c>
      <c r="G16" s="28" t="s">
        <v>27</v>
      </c>
      <c r="H16" s="33">
        <v>42</v>
      </c>
      <c r="I16" s="28">
        <v>4</v>
      </c>
      <c r="J16" s="37">
        <v>0</v>
      </c>
      <c r="K16" s="26">
        <v>6</v>
      </c>
      <c r="L16" s="26">
        <v>2</v>
      </c>
      <c r="M16" s="26">
        <v>4</v>
      </c>
      <c r="N16" s="26">
        <v>27</v>
      </c>
      <c r="O16" s="28">
        <v>37</v>
      </c>
      <c r="P16" s="26">
        <v>5</v>
      </c>
      <c r="Q16" s="28">
        <v>-1</v>
      </c>
      <c r="R16" s="28">
        <v>-1</v>
      </c>
      <c r="S16" s="28">
        <v>-1</v>
      </c>
      <c r="T16" s="28">
        <v>-1</v>
      </c>
      <c r="U16" s="28">
        <v>-1</v>
      </c>
      <c r="V16" s="28">
        <v>-1</v>
      </c>
      <c r="W16" s="28">
        <v>-1</v>
      </c>
      <c r="X16" s="28">
        <v>-1</v>
      </c>
      <c r="Y16" s="43" t="str">
        <f t="shared" si="0"/>
        <v>strawberry</v>
      </c>
    </row>
    <row r="17" spans="1:25">
      <c r="A17" s="29">
        <v>15</v>
      </c>
      <c r="B17" t="s">
        <v>33</v>
      </c>
      <c r="C17" t="s">
        <v>26</v>
      </c>
      <c r="D17" s="30">
        <v>15</v>
      </c>
      <c r="E17" s="28">
        <v>15</v>
      </c>
      <c r="F17" s="28">
        <v>155</v>
      </c>
      <c r="G17" s="28" t="s">
        <v>27</v>
      </c>
      <c r="H17" s="33">
        <v>43</v>
      </c>
      <c r="I17" s="28">
        <v>4</v>
      </c>
      <c r="J17" s="37">
        <v>0</v>
      </c>
      <c r="K17" s="26">
        <v>8</v>
      </c>
      <c r="L17" s="26">
        <v>2</v>
      </c>
      <c r="M17" s="26">
        <v>4</v>
      </c>
      <c r="N17" s="26">
        <v>28</v>
      </c>
      <c r="O17" s="28">
        <v>38</v>
      </c>
      <c r="P17" s="26">
        <v>6</v>
      </c>
      <c r="Q17" s="28">
        <v>-1</v>
      </c>
      <c r="R17" s="28">
        <v>-1</v>
      </c>
      <c r="S17" s="28">
        <v>-1</v>
      </c>
      <c r="T17" s="28">
        <v>-1</v>
      </c>
      <c r="U17" s="28">
        <v>-1</v>
      </c>
      <c r="V17" s="28">
        <v>-1</v>
      </c>
      <c r="W17" s="28">
        <v>-1</v>
      </c>
      <c r="X17" s="28">
        <v>-1</v>
      </c>
      <c r="Y17" s="43" t="str">
        <f t="shared" si="0"/>
        <v>pumpkin</v>
      </c>
    </row>
    <row r="18" spans="1:25">
      <c r="A18">
        <v>16</v>
      </c>
      <c r="B18" s="19" t="s">
        <v>76</v>
      </c>
      <c r="C18" t="s">
        <v>26</v>
      </c>
      <c r="D18" s="28">
        <v>16</v>
      </c>
      <c r="E18" s="28">
        <v>-5</v>
      </c>
      <c r="F18" s="28">
        <v>165</v>
      </c>
      <c r="G18" s="28" t="s">
        <v>27</v>
      </c>
      <c r="H18" s="33">
        <v>44</v>
      </c>
      <c r="I18" s="28">
        <v>4</v>
      </c>
      <c r="J18" s="37">
        <v>0</v>
      </c>
      <c r="K18" s="26">
        <v>8</v>
      </c>
      <c r="L18" s="26">
        <v>2</v>
      </c>
      <c r="M18" s="26">
        <v>4</v>
      </c>
      <c r="N18" s="26">
        <v>28</v>
      </c>
      <c r="O18" s="28">
        <v>38</v>
      </c>
      <c r="P18" s="26">
        <v>6</v>
      </c>
      <c r="Q18" s="28">
        <v>-1</v>
      </c>
      <c r="R18" s="28">
        <v>-1</v>
      </c>
      <c r="S18" s="28">
        <v>-1</v>
      </c>
      <c r="T18" s="28">
        <v>-1</v>
      </c>
      <c r="U18" s="28">
        <v>-1</v>
      </c>
      <c r="V18" s="28">
        <v>-1</v>
      </c>
      <c r="W18" s="28">
        <v>-1</v>
      </c>
      <c r="X18" s="28">
        <v>-1</v>
      </c>
      <c r="Y18" s="43" t="str">
        <f t="shared" ref="Y18:Y23" si="2">LOWER(SUBSTITUTE(TRIM(B18)," ",""))</f>
        <v>carrot</v>
      </c>
    </row>
    <row r="19" spans="1:25">
      <c r="A19" s="29">
        <v>17</v>
      </c>
      <c r="B19" s="19" t="s">
        <v>77</v>
      </c>
      <c r="C19" t="s">
        <v>26</v>
      </c>
      <c r="D19" s="30">
        <v>17</v>
      </c>
      <c r="E19" s="28">
        <v>-25</v>
      </c>
      <c r="F19" s="28">
        <v>175</v>
      </c>
      <c r="G19" s="28" t="s">
        <v>27</v>
      </c>
      <c r="H19" s="33">
        <v>45</v>
      </c>
      <c r="I19" s="28">
        <v>4</v>
      </c>
      <c r="J19" s="37">
        <v>0</v>
      </c>
      <c r="K19" s="26">
        <v>8</v>
      </c>
      <c r="L19" s="26">
        <v>2</v>
      </c>
      <c r="M19" s="26">
        <v>4</v>
      </c>
      <c r="N19" s="26">
        <v>28</v>
      </c>
      <c r="O19" s="28">
        <v>38</v>
      </c>
      <c r="P19" s="26">
        <v>6</v>
      </c>
      <c r="Q19" s="28">
        <v>-1</v>
      </c>
      <c r="R19" s="28">
        <v>-1</v>
      </c>
      <c r="S19" s="28">
        <v>-1</v>
      </c>
      <c r="T19" s="28">
        <v>-1</v>
      </c>
      <c r="U19" s="28">
        <v>-1</v>
      </c>
      <c r="V19" s="28">
        <v>-1</v>
      </c>
      <c r="W19" s="28">
        <v>-1</v>
      </c>
      <c r="X19" s="28">
        <v>-1</v>
      </c>
      <c r="Y19" s="43" t="str">
        <f t="shared" si="2"/>
        <v>soybean</v>
      </c>
    </row>
    <row r="20" spans="1:25">
      <c r="A20">
        <v>18</v>
      </c>
      <c r="B20" s="19" t="s">
        <v>80</v>
      </c>
      <c r="C20" t="s">
        <v>26</v>
      </c>
      <c r="D20" s="28">
        <v>18</v>
      </c>
      <c r="E20" s="28">
        <v>-45</v>
      </c>
      <c r="F20" s="28">
        <v>185</v>
      </c>
      <c r="G20" s="28" t="s">
        <v>27</v>
      </c>
      <c r="H20" s="33">
        <v>46</v>
      </c>
      <c r="I20" s="28">
        <v>4</v>
      </c>
      <c r="J20" s="37">
        <v>0</v>
      </c>
      <c r="K20" s="26">
        <v>8</v>
      </c>
      <c r="L20" s="26">
        <v>2</v>
      </c>
      <c r="M20" s="26">
        <v>4</v>
      </c>
      <c r="N20" s="26">
        <v>28</v>
      </c>
      <c r="O20" s="28">
        <v>38</v>
      </c>
      <c r="P20" s="26">
        <v>6</v>
      </c>
      <c r="Q20" s="28">
        <v>-1</v>
      </c>
      <c r="R20" s="28">
        <v>-1</v>
      </c>
      <c r="S20" s="28">
        <v>-1</v>
      </c>
      <c r="T20" s="28">
        <v>-1</v>
      </c>
      <c r="U20" s="28">
        <v>-1</v>
      </c>
      <c r="V20" s="28">
        <v>-1</v>
      </c>
      <c r="W20" s="28">
        <v>-1</v>
      </c>
      <c r="X20" s="28">
        <v>-1</v>
      </c>
      <c r="Y20" s="43" t="str">
        <f t="shared" si="2"/>
        <v>sugarcane</v>
      </c>
    </row>
    <row r="21" spans="1:25">
      <c r="A21" s="29">
        <v>19</v>
      </c>
      <c r="B21" s="19" t="s">
        <v>82</v>
      </c>
      <c r="C21" t="s">
        <v>26</v>
      </c>
      <c r="D21" s="30">
        <v>19</v>
      </c>
      <c r="E21" s="28">
        <v>-65</v>
      </c>
      <c r="F21" s="28">
        <v>195</v>
      </c>
      <c r="G21" s="28" t="s">
        <v>27</v>
      </c>
      <c r="H21" s="33">
        <v>47</v>
      </c>
      <c r="I21" s="28">
        <v>4</v>
      </c>
      <c r="J21" s="37">
        <v>0</v>
      </c>
      <c r="K21" s="26">
        <v>8</v>
      </c>
      <c r="L21" s="26">
        <v>2</v>
      </c>
      <c r="M21" s="26">
        <v>4</v>
      </c>
      <c r="N21" s="26">
        <v>28</v>
      </c>
      <c r="O21" s="28">
        <v>38</v>
      </c>
      <c r="P21" s="26">
        <v>6</v>
      </c>
      <c r="Q21" s="28">
        <v>-1</v>
      </c>
      <c r="R21" s="28">
        <v>-1</v>
      </c>
      <c r="S21" s="28">
        <v>-1</v>
      </c>
      <c r="T21" s="28">
        <v>-1</v>
      </c>
      <c r="U21" s="28">
        <v>-1</v>
      </c>
      <c r="V21" s="28">
        <v>-1</v>
      </c>
      <c r="W21" s="28">
        <v>-1</v>
      </c>
      <c r="X21" s="28">
        <v>-1</v>
      </c>
      <c r="Y21" s="43" t="str">
        <f t="shared" si="2"/>
        <v>indigo</v>
      </c>
    </row>
    <row r="22" spans="1:25">
      <c r="A22">
        <v>20</v>
      </c>
      <c r="B22" s="19" t="s">
        <v>85</v>
      </c>
      <c r="C22" t="s">
        <v>26</v>
      </c>
      <c r="D22" s="28">
        <v>20</v>
      </c>
      <c r="E22" s="28">
        <v>-85</v>
      </c>
      <c r="F22" s="28">
        <v>205</v>
      </c>
      <c r="G22" s="28" t="s">
        <v>27</v>
      </c>
      <c r="H22" s="33">
        <v>48</v>
      </c>
      <c r="I22" s="28">
        <v>4</v>
      </c>
      <c r="J22" s="37">
        <v>0</v>
      </c>
      <c r="K22" s="26">
        <v>8</v>
      </c>
      <c r="L22" s="26">
        <v>2</v>
      </c>
      <c r="M22" s="26">
        <v>4</v>
      </c>
      <c r="N22" s="26">
        <v>28</v>
      </c>
      <c r="O22" s="28">
        <v>38</v>
      </c>
      <c r="P22" s="26">
        <v>6</v>
      </c>
      <c r="Q22" s="28">
        <v>-1</v>
      </c>
      <c r="R22" s="28">
        <v>-1</v>
      </c>
      <c r="S22" s="28">
        <v>-1</v>
      </c>
      <c r="T22" s="28">
        <v>-1</v>
      </c>
      <c r="U22" s="28">
        <v>-1</v>
      </c>
      <c r="V22" s="28">
        <v>-1</v>
      </c>
      <c r="W22" s="28">
        <v>-1</v>
      </c>
      <c r="X22" s="28">
        <v>-1</v>
      </c>
      <c r="Y22" s="43" t="str">
        <f t="shared" si="2"/>
        <v>cotton</v>
      </c>
    </row>
    <row r="23" spans="1:25">
      <c r="A23" s="29">
        <v>21</v>
      </c>
      <c r="B23" s="32" t="s">
        <v>109</v>
      </c>
      <c r="C23" s="32" t="s">
        <v>26</v>
      </c>
      <c r="D23" s="30">
        <v>21</v>
      </c>
      <c r="E23" s="33">
        <v>65</v>
      </c>
      <c r="F23" s="33">
        <v>155</v>
      </c>
      <c r="G23" s="33" t="s">
        <v>36</v>
      </c>
      <c r="H23" s="33">
        <v>38</v>
      </c>
      <c r="I23" s="33">
        <v>4</v>
      </c>
      <c r="J23" s="37">
        <v>1</v>
      </c>
      <c r="K23" s="33">
        <v>-1</v>
      </c>
      <c r="L23" s="33">
        <v>1</v>
      </c>
      <c r="M23" s="33">
        <v>1</v>
      </c>
      <c r="N23" s="33">
        <v>33</v>
      </c>
      <c r="O23" s="33">
        <v>43</v>
      </c>
      <c r="P23" s="33">
        <v>1</v>
      </c>
      <c r="Q23" s="33">
        <v>11</v>
      </c>
      <c r="R23" s="33">
        <v>1</v>
      </c>
      <c r="S23" s="33">
        <v>-1</v>
      </c>
      <c r="T23" s="33">
        <v>0</v>
      </c>
      <c r="U23" s="33">
        <v>-1</v>
      </c>
      <c r="V23" s="33">
        <v>0</v>
      </c>
      <c r="W23" s="33">
        <v>-1</v>
      </c>
      <c r="X23" s="33">
        <v>0</v>
      </c>
      <c r="Y23" s="43" t="str">
        <f t="shared" si="2"/>
        <v>thickgrass</v>
      </c>
    </row>
    <row r="24" spans="1:25">
      <c r="A24">
        <v>22</v>
      </c>
      <c r="B24" s="19" t="s">
        <v>34</v>
      </c>
      <c r="C24" t="s">
        <v>26</v>
      </c>
      <c r="D24" s="28">
        <v>22</v>
      </c>
      <c r="E24" s="28">
        <v>-105</v>
      </c>
      <c r="F24" s="28">
        <v>215</v>
      </c>
      <c r="G24" s="28" t="s">
        <v>27</v>
      </c>
      <c r="H24" s="33">
        <v>49</v>
      </c>
      <c r="I24" s="28">
        <v>4</v>
      </c>
      <c r="J24" s="37">
        <v>0</v>
      </c>
      <c r="K24" s="26">
        <v>8</v>
      </c>
      <c r="L24" s="26">
        <v>2</v>
      </c>
      <c r="M24" s="26">
        <v>4</v>
      </c>
      <c r="N24" s="26">
        <v>28</v>
      </c>
      <c r="O24" s="28">
        <v>38</v>
      </c>
      <c r="P24" s="26">
        <v>6</v>
      </c>
      <c r="Q24" s="28">
        <v>-1</v>
      </c>
      <c r="R24" s="28">
        <v>-1</v>
      </c>
      <c r="S24" s="28">
        <v>-1</v>
      </c>
      <c r="T24" s="28">
        <v>-1</v>
      </c>
      <c r="U24" s="28">
        <v>-1</v>
      </c>
      <c r="V24" s="28">
        <v>-1</v>
      </c>
      <c r="W24" s="28">
        <v>-1</v>
      </c>
      <c r="X24" s="28">
        <v>-1</v>
      </c>
      <c r="Y24" s="43" t="str">
        <f t="shared" ref="Y24" si="3">LOWER(SUBSTITUTE(TRIM(B24)," ",""))</f>
        <v>chilipepper</v>
      </c>
    </row>
    <row r="25" spans="1:25">
      <c r="A25">
        <v>23</v>
      </c>
      <c r="B25" s="19" t="s">
        <v>122</v>
      </c>
      <c r="C25" t="s">
        <v>26</v>
      </c>
      <c r="D25" s="28">
        <v>0</v>
      </c>
      <c r="E25" s="28">
        <v>-1</v>
      </c>
      <c r="F25" s="28">
        <v>1</v>
      </c>
      <c r="G25" s="28" t="s">
        <v>123</v>
      </c>
      <c r="H25" s="33">
        <v>1</v>
      </c>
      <c r="I25" s="28">
        <v>1</v>
      </c>
      <c r="J25" s="37">
        <v>0</v>
      </c>
      <c r="K25" s="26">
        <v>8</v>
      </c>
      <c r="L25" s="26">
        <v>2</v>
      </c>
      <c r="M25" s="26">
        <v>4</v>
      </c>
      <c r="N25" s="26">
        <v>28</v>
      </c>
      <c r="O25" s="28">
        <v>38</v>
      </c>
      <c r="P25" s="26">
        <v>6</v>
      </c>
      <c r="Q25" s="28">
        <v>-1</v>
      </c>
      <c r="R25" s="28">
        <v>-1</v>
      </c>
      <c r="S25" s="28">
        <v>-1</v>
      </c>
      <c r="T25" s="28">
        <v>-1</v>
      </c>
      <c r="U25" s="28">
        <v>-1</v>
      </c>
      <c r="V25" s="28">
        <v>-1</v>
      </c>
      <c r="W25" s="28">
        <v>-1</v>
      </c>
      <c r="X25" s="28">
        <v>-1</v>
      </c>
      <c r="Y25" s="43" t="str">
        <f t="shared" ref="Y25" si="4">LOWER(SUBSTITUTE(TRIM(B25)," ",""))</f>
        <v>stone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"/>
  <sheetViews>
    <sheetView zoomScale="175" zoomScaleNormal="175" workbookViewId="0">
      <selection activeCell="J7" sqref="J7"/>
    </sheetView>
  </sheetViews>
  <sheetFormatPr defaultRowHeight="15"/>
  <cols>
    <col min="1" max="1" width="4.42578125" customWidth="1"/>
    <col min="2" max="2" width="17.5703125" bestFit="1" customWidth="1"/>
    <col min="3" max="3" width="19.85546875" bestFit="1" customWidth="1"/>
    <col min="4" max="6" width="10.140625" customWidth="1"/>
    <col min="7" max="7" width="6" customWidth="1"/>
    <col min="8" max="8" width="6.28515625" customWidth="1"/>
    <col min="9" max="9" width="16.42578125" bestFit="1" customWidth="1"/>
  </cols>
  <sheetData>
    <row r="1" spans="1:9">
      <c r="A1" t="s">
        <v>0</v>
      </c>
      <c r="B1" t="s">
        <v>1</v>
      </c>
      <c r="C1" t="s">
        <v>2</v>
      </c>
      <c r="D1" t="s">
        <v>120</v>
      </c>
      <c r="E1" t="s">
        <v>126</v>
      </c>
      <c r="F1" t="s">
        <v>127</v>
      </c>
      <c r="G1" t="s">
        <v>117</v>
      </c>
      <c r="H1" t="s">
        <v>5</v>
      </c>
      <c r="I1" t="s">
        <v>24</v>
      </c>
    </row>
    <row r="2" spans="1:9">
      <c r="A2">
        <v>0</v>
      </c>
      <c r="B2" t="s">
        <v>118</v>
      </c>
      <c r="C2" t="s">
        <v>119</v>
      </c>
      <c r="D2">
        <v>-1</v>
      </c>
      <c r="G2">
        <v>-1</v>
      </c>
      <c r="H2">
        <v>-1</v>
      </c>
      <c r="I2" t="str">
        <f>LOWER(SUBSTITUTE(TRIM(B2)," ",""))</f>
        <v>enterance</v>
      </c>
    </row>
    <row r="3" spans="1:9">
      <c r="A3">
        <v>1</v>
      </c>
      <c r="B3" t="s">
        <v>121</v>
      </c>
      <c r="C3" t="s">
        <v>121</v>
      </c>
      <c r="D3">
        <v>23</v>
      </c>
      <c r="E3">
        <v>1</v>
      </c>
      <c r="F3">
        <v>1</v>
      </c>
      <c r="G3">
        <v>2</v>
      </c>
      <c r="H3">
        <v>1</v>
      </c>
      <c r="I3" t="str">
        <f t="shared" ref="I3:I4" si="0">LOWER(SUBSTITUTE(TRIM(B3)," ",""))</f>
        <v>basicboulder</v>
      </c>
    </row>
    <row r="4" spans="1:9">
      <c r="A4">
        <v>2</v>
      </c>
      <c r="B4" t="s">
        <v>125</v>
      </c>
      <c r="C4" t="s">
        <v>125</v>
      </c>
      <c r="D4">
        <v>23</v>
      </c>
      <c r="E4">
        <v>1</v>
      </c>
      <c r="F4">
        <v>1</v>
      </c>
      <c r="G4">
        <v>2</v>
      </c>
      <c r="H4">
        <v>1</v>
      </c>
      <c r="I4" t="str">
        <f t="shared" si="0"/>
        <v>basicboulderdark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5"/>
  <sheetViews>
    <sheetView tabSelected="1" zoomScale="115" zoomScaleNormal="115" workbookViewId="0">
      <selection activeCell="H18" sqref="H18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37</v>
      </c>
      <c r="D1" t="s">
        <v>6</v>
      </c>
      <c r="E1" t="s">
        <v>38</v>
      </c>
      <c r="F1" t="s">
        <v>39</v>
      </c>
      <c r="G1" t="s">
        <v>40</v>
      </c>
      <c r="H1" t="s">
        <v>41</v>
      </c>
      <c r="I1" t="s">
        <v>24</v>
      </c>
    </row>
    <row r="2" spans="1:9">
      <c r="A2">
        <v>0</v>
      </c>
      <c r="B2" t="s">
        <v>42</v>
      </c>
      <c r="C2" t="s">
        <v>43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44</v>
      </c>
      <c r="C3" t="s">
        <v>45</v>
      </c>
      <c r="D3" t="s">
        <v>36</v>
      </c>
      <c r="E3">
        <v>-1</v>
      </c>
      <c r="F3">
        <v>0.1</v>
      </c>
      <c r="G3">
        <v>2</v>
      </c>
      <c r="H3">
        <v>-1</v>
      </c>
      <c r="I3" t="str">
        <f t="shared" ref="I3:I15" si="0">LOWER(SUBSTITUTE(TRIM(B3)," ",""))</f>
        <v>grasstile</v>
      </c>
    </row>
    <row r="4" spans="1:9">
      <c r="A4">
        <v>2</v>
      </c>
      <c r="B4" t="s">
        <v>46</v>
      </c>
      <c r="C4" t="s">
        <v>47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87</v>
      </c>
      <c r="C5" t="s">
        <v>110</v>
      </c>
      <c r="D5" t="s">
        <v>75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49</v>
      </c>
      <c r="C6" t="s">
        <v>47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89</v>
      </c>
      <c r="C7" t="s">
        <v>110</v>
      </c>
      <c r="D7" t="s">
        <v>29</v>
      </c>
      <c r="E7">
        <v>20</v>
      </c>
      <c r="F7">
        <v>0.1</v>
      </c>
      <c r="G7">
        <v>-1</v>
      </c>
      <c r="H7">
        <v>1</v>
      </c>
      <c r="I7" t="str">
        <f t="shared" si="0"/>
        <v>cow</v>
      </c>
    </row>
    <row r="8" spans="1:9">
      <c r="A8">
        <v>6</v>
      </c>
      <c r="B8" t="s">
        <v>48</v>
      </c>
      <c r="C8" t="s">
        <v>47</v>
      </c>
      <c r="D8" t="s">
        <v>29</v>
      </c>
      <c r="E8">
        <v>50</v>
      </c>
      <c r="F8">
        <v>160</v>
      </c>
      <c r="G8">
        <v>2</v>
      </c>
      <c r="H8">
        <v>1</v>
      </c>
      <c r="I8" t="str">
        <f t="shared" si="0"/>
        <v>feedmill</v>
      </c>
    </row>
    <row r="9" spans="1:9">
      <c r="A9">
        <v>7</v>
      </c>
      <c r="B9" t="s">
        <v>50</v>
      </c>
      <c r="C9" t="s">
        <v>47</v>
      </c>
      <c r="D9" t="s">
        <v>29</v>
      </c>
      <c r="E9">
        <v>350</v>
      </c>
      <c r="F9">
        <v>360</v>
      </c>
      <c r="G9">
        <v>2</v>
      </c>
      <c r="H9">
        <v>1</v>
      </c>
      <c r="I9" t="str">
        <f t="shared" si="0"/>
        <v>sugarmill</v>
      </c>
    </row>
    <row r="10" spans="1:9">
      <c r="A10">
        <v>8</v>
      </c>
      <c r="B10" t="s">
        <v>51</v>
      </c>
      <c r="C10" t="s">
        <v>47</v>
      </c>
      <c r="D10" t="s">
        <v>29</v>
      </c>
      <c r="E10">
        <v>650</v>
      </c>
      <c r="F10">
        <v>480</v>
      </c>
      <c r="G10">
        <v>2</v>
      </c>
      <c r="H10">
        <v>1</v>
      </c>
      <c r="I10" t="str">
        <f t="shared" si="0"/>
        <v>popcornpot</v>
      </c>
    </row>
    <row r="11" spans="1:9">
      <c r="A11">
        <v>9</v>
      </c>
      <c r="B11" t="s">
        <v>52</v>
      </c>
      <c r="C11" t="s">
        <v>47</v>
      </c>
      <c r="D11" t="s">
        <v>29</v>
      </c>
      <c r="E11">
        <v>730</v>
      </c>
      <c r="F11">
        <v>480</v>
      </c>
      <c r="G11">
        <v>2</v>
      </c>
      <c r="H11">
        <v>1</v>
      </c>
      <c r="I11" t="str">
        <f t="shared" si="0"/>
        <v>bbqgrill</v>
      </c>
    </row>
    <row r="12" spans="1:9">
      <c r="A12">
        <v>10</v>
      </c>
      <c r="B12" t="s">
        <v>53</v>
      </c>
      <c r="C12" t="s">
        <v>47</v>
      </c>
      <c r="D12" t="s">
        <v>29</v>
      </c>
      <c r="E12">
        <v>2200</v>
      </c>
      <c r="F12">
        <v>720</v>
      </c>
      <c r="G12">
        <v>2</v>
      </c>
      <c r="H12">
        <v>1</v>
      </c>
      <c r="I12" t="str">
        <f t="shared" si="0"/>
        <v>pieoven</v>
      </c>
    </row>
    <row r="13" spans="1:9">
      <c r="A13">
        <v>11</v>
      </c>
      <c r="B13" t="s">
        <v>54</v>
      </c>
      <c r="C13" t="s">
        <v>47</v>
      </c>
      <c r="D13" t="s">
        <v>29</v>
      </c>
      <c r="E13">
        <v>3200</v>
      </c>
      <c r="F13">
        <v>1440</v>
      </c>
      <c r="G13">
        <v>2</v>
      </c>
      <c r="H13">
        <v>1</v>
      </c>
      <c r="I13" t="str">
        <f t="shared" si="0"/>
        <v>loom</v>
      </c>
    </row>
    <row r="14" spans="1:9">
      <c r="A14">
        <v>12</v>
      </c>
      <c r="B14" t="s">
        <v>91</v>
      </c>
      <c r="C14" s="48" t="s">
        <v>115</v>
      </c>
      <c r="D14" t="s">
        <v>75</v>
      </c>
      <c r="E14">
        <v>3200</v>
      </c>
      <c r="F14">
        <v>1440</v>
      </c>
      <c r="G14">
        <v>2</v>
      </c>
      <c r="H14">
        <v>1</v>
      </c>
      <c r="I14" t="str">
        <f t="shared" si="0"/>
        <v>fish</v>
      </c>
    </row>
    <row r="15" spans="1:9">
      <c r="A15">
        <v>13</v>
      </c>
      <c r="B15" t="s">
        <v>124</v>
      </c>
      <c r="C15" t="s">
        <v>124</v>
      </c>
      <c r="D15" t="s">
        <v>123</v>
      </c>
      <c r="E15">
        <v>-1</v>
      </c>
      <c r="F15">
        <v>-1</v>
      </c>
      <c r="G15">
        <v>-1</v>
      </c>
      <c r="H15">
        <v>-1</v>
      </c>
      <c r="I15" t="str">
        <f t="shared" si="0"/>
        <v>mines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ZConfig!$A$4:$A$36</xm:f>
          </x14:formula1>
          <xm:sqref>B2:B15</xm:sqref>
        </x14:dataValidation>
        <x14:dataValidation type="list" allowBlank="1" showInputMessage="1" showErrorMessage="1">
          <x14:formula1>
            <xm:f>ZConfig!$B$4:$B$20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0"/>
  <sheetViews>
    <sheetView topLeftCell="A19" workbookViewId="0">
      <selection activeCell="B46" sqref="B46"/>
    </sheetView>
  </sheetViews>
  <sheetFormatPr defaultColWidth="9" defaultRowHeight="15"/>
  <cols>
    <col min="2" max="2" width="19.14062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70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130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v>220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v>350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v>520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v>730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v>1000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v>1340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v>1730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v>2200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v>2750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v>3380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v>4100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v>4920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v>5840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v>6860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v>8000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v>9270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v>10650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v>12170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v>13830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v>15630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v>17580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v>19690</v>
      </c>
      <c r="C26">
        <v>1</v>
      </c>
      <c r="D26">
        <v>23</v>
      </c>
      <c r="E26">
        <v>-1</v>
      </c>
      <c r="F26">
        <v>0</v>
      </c>
      <c r="G26">
        <v>15</v>
      </c>
    </row>
    <row r="27" spans="1:7">
      <c r="A27">
        <v>25</v>
      </c>
      <c r="B27" s="24">
        <v>21960</v>
      </c>
      <c r="C27">
        <v>3</v>
      </c>
      <c r="D27">
        <v>24</v>
      </c>
      <c r="E27">
        <v>-1</v>
      </c>
      <c r="F27">
        <v>0</v>
      </c>
      <c r="G27">
        <v>30</v>
      </c>
    </row>
    <row r="28" spans="1:7">
      <c r="A28">
        <v>26</v>
      </c>
      <c r="B28" s="24">
        <v>24390</v>
      </c>
      <c r="C28">
        <v>5</v>
      </c>
      <c r="D28">
        <v>25</v>
      </c>
      <c r="E28">
        <v>-1</v>
      </c>
      <c r="F28">
        <v>0</v>
      </c>
      <c r="G28">
        <v>45</v>
      </c>
    </row>
    <row r="29" spans="1:7">
      <c r="A29">
        <v>27</v>
      </c>
      <c r="B29" s="24">
        <v>27000</v>
      </c>
      <c r="C29">
        <v>7</v>
      </c>
      <c r="D29">
        <v>26</v>
      </c>
      <c r="E29">
        <v>-1</v>
      </c>
      <c r="F29">
        <v>0</v>
      </c>
      <c r="G29">
        <v>60</v>
      </c>
    </row>
    <row r="30" spans="1:7">
      <c r="A30">
        <v>28</v>
      </c>
      <c r="B30" s="24">
        <v>29800</v>
      </c>
      <c r="C30">
        <v>9</v>
      </c>
      <c r="D30">
        <v>27</v>
      </c>
      <c r="E30">
        <v>-1</v>
      </c>
      <c r="F30">
        <v>0</v>
      </c>
      <c r="G30">
        <v>75</v>
      </c>
    </row>
    <row r="31" spans="1:7">
      <c r="A31">
        <v>29</v>
      </c>
      <c r="B31" s="24">
        <v>32770</v>
      </c>
      <c r="C31">
        <v>11</v>
      </c>
      <c r="D31">
        <v>28</v>
      </c>
      <c r="E31">
        <v>-1</v>
      </c>
      <c r="F31">
        <v>0</v>
      </c>
      <c r="G31">
        <v>90</v>
      </c>
    </row>
    <row r="32" spans="1:7">
      <c r="A32">
        <v>30</v>
      </c>
      <c r="B32" s="24">
        <v>35940</v>
      </c>
      <c r="C32">
        <v>13</v>
      </c>
      <c r="D32">
        <v>29</v>
      </c>
      <c r="E32">
        <v>-1</v>
      </c>
      <c r="F32">
        <v>0</v>
      </c>
      <c r="G32">
        <v>105</v>
      </c>
    </row>
    <row r="33" spans="1:7">
      <c r="A33">
        <v>31</v>
      </c>
      <c r="B33" s="24">
        <v>39310</v>
      </c>
      <c r="C33">
        <v>15</v>
      </c>
      <c r="D33">
        <v>30</v>
      </c>
      <c r="E33">
        <v>-1</v>
      </c>
      <c r="F33">
        <v>0</v>
      </c>
      <c r="G33">
        <v>120</v>
      </c>
    </row>
    <row r="34" spans="1:7">
      <c r="A34">
        <v>32</v>
      </c>
      <c r="B34" s="24">
        <v>42880</v>
      </c>
      <c r="C34">
        <v>17</v>
      </c>
      <c r="D34">
        <v>31</v>
      </c>
      <c r="E34">
        <v>-1</v>
      </c>
      <c r="F34">
        <v>0</v>
      </c>
      <c r="G34">
        <v>135</v>
      </c>
    </row>
    <row r="35" spans="1:7">
      <c r="A35">
        <v>33</v>
      </c>
      <c r="B35" s="24">
        <v>46660</v>
      </c>
      <c r="C35">
        <v>19</v>
      </c>
      <c r="D35">
        <v>32</v>
      </c>
      <c r="E35">
        <v>-1</v>
      </c>
      <c r="F35">
        <v>0</v>
      </c>
      <c r="G35">
        <v>150</v>
      </c>
    </row>
    <row r="36" spans="1:7">
      <c r="A36">
        <v>34</v>
      </c>
      <c r="B36" s="24">
        <v>50660</v>
      </c>
      <c r="C36">
        <v>21</v>
      </c>
      <c r="D36">
        <v>33</v>
      </c>
      <c r="E36">
        <v>-1</v>
      </c>
      <c r="F36">
        <v>0</v>
      </c>
      <c r="G36">
        <v>165</v>
      </c>
    </row>
    <row r="37" spans="1:7">
      <c r="A37">
        <v>35</v>
      </c>
      <c r="B37" s="24">
        <v>54880</v>
      </c>
      <c r="C37">
        <v>23</v>
      </c>
      <c r="D37">
        <v>34</v>
      </c>
      <c r="E37">
        <v>-1</v>
      </c>
      <c r="F37">
        <v>0</v>
      </c>
      <c r="G37">
        <v>180</v>
      </c>
    </row>
    <row r="38" spans="1:7">
      <c r="A38">
        <v>36</v>
      </c>
      <c r="B38" s="24">
        <f>ZConfig!G39</f>
        <v>50660</v>
      </c>
      <c r="C38">
        <v>25</v>
      </c>
      <c r="D38">
        <v>35</v>
      </c>
      <c r="E38">
        <v>-1</v>
      </c>
      <c r="F38">
        <v>0</v>
      </c>
      <c r="G38">
        <v>195</v>
      </c>
    </row>
    <row r="39" spans="1:7">
      <c r="A39">
        <v>37</v>
      </c>
      <c r="B39" s="24">
        <f>ZConfig!G40</f>
        <v>54880</v>
      </c>
      <c r="C39">
        <v>27</v>
      </c>
      <c r="D39">
        <v>36</v>
      </c>
      <c r="E39">
        <v>-1</v>
      </c>
      <c r="F39">
        <v>0</v>
      </c>
      <c r="G39">
        <v>210</v>
      </c>
    </row>
    <row r="40" spans="1:7">
      <c r="A40">
        <v>38</v>
      </c>
      <c r="B40" s="24">
        <f>ZConfig!G41</f>
        <v>59320</v>
      </c>
      <c r="C40">
        <v>29</v>
      </c>
      <c r="D40">
        <v>37</v>
      </c>
      <c r="E40">
        <v>-1</v>
      </c>
      <c r="F40">
        <v>0</v>
      </c>
      <c r="G40">
        <v>225</v>
      </c>
    </row>
    <row r="41" spans="1:7">
      <c r="A41">
        <v>39</v>
      </c>
      <c r="B41" s="24">
        <f>ZConfig!G42</f>
        <v>64000</v>
      </c>
      <c r="C41">
        <v>31</v>
      </c>
      <c r="D41">
        <v>38</v>
      </c>
      <c r="E41">
        <v>-1</v>
      </c>
      <c r="F41">
        <v>0</v>
      </c>
      <c r="G41">
        <v>240</v>
      </c>
    </row>
    <row r="42" spans="1:7">
      <c r="A42">
        <v>40</v>
      </c>
      <c r="B42" s="24">
        <f>ZConfig!G43</f>
        <v>68930</v>
      </c>
      <c r="C42">
        <v>33</v>
      </c>
      <c r="D42">
        <v>39</v>
      </c>
      <c r="E42">
        <v>-1</v>
      </c>
      <c r="F42">
        <v>0</v>
      </c>
      <c r="G42">
        <v>255</v>
      </c>
    </row>
    <row r="43" spans="1:7">
      <c r="A43">
        <v>41</v>
      </c>
      <c r="B43" s="24">
        <f>ZConfig!G44</f>
        <v>74090</v>
      </c>
      <c r="C43">
        <v>35</v>
      </c>
      <c r="D43">
        <v>40</v>
      </c>
      <c r="E43">
        <v>-1</v>
      </c>
      <c r="F43">
        <v>0</v>
      </c>
      <c r="G43">
        <v>270</v>
      </c>
    </row>
    <row r="44" spans="1:7">
      <c r="A44">
        <v>42</v>
      </c>
      <c r="B44" s="24">
        <f>ZConfig!G45</f>
        <v>79510</v>
      </c>
      <c r="C44">
        <v>37</v>
      </c>
      <c r="D44">
        <v>41</v>
      </c>
      <c r="E44">
        <v>-1</v>
      </c>
      <c r="F44">
        <v>0</v>
      </c>
      <c r="G44">
        <v>285</v>
      </c>
    </row>
    <row r="45" spans="1:7">
      <c r="A45">
        <v>43</v>
      </c>
      <c r="B45" s="24">
        <f>ZConfig!G46</f>
        <v>85190</v>
      </c>
      <c r="C45">
        <v>39</v>
      </c>
      <c r="D45">
        <v>42</v>
      </c>
      <c r="E45">
        <v>-1</v>
      </c>
      <c r="F45">
        <v>0</v>
      </c>
      <c r="G45">
        <v>300</v>
      </c>
    </row>
    <row r="46" spans="1:7">
      <c r="A46">
        <v>44</v>
      </c>
      <c r="B46" s="24">
        <f>ZConfig!G47</f>
        <v>91130</v>
      </c>
      <c r="C46">
        <v>41</v>
      </c>
      <c r="D46">
        <v>43</v>
      </c>
      <c r="E46">
        <v>-1</v>
      </c>
      <c r="F46">
        <v>0</v>
      </c>
      <c r="G46">
        <v>315</v>
      </c>
    </row>
    <row r="47" spans="1:7">
      <c r="A47">
        <v>45</v>
      </c>
      <c r="B47" s="24">
        <f>ZConfig!G48</f>
        <v>97340</v>
      </c>
      <c r="C47">
        <v>43</v>
      </c>
      <c r="D47">
        <v>44</v>
      </c>
      <c r="E47">
        <v>-1</v>
      </c>
      <c r="F47">
        <v>0</v>
      </c>
      <c r="G47">
        <v>330</v>
      </c>
    </row>
    <row r="48" spans="1:7">
      <c r="A48">
        <v>46</v>
      </c>
      <c r="B48" s="24">
        <f>ZConfig!G49</f>
        <v>103830</v>
      </c>
      <c r="C48">
        <v>45</v>
      </c>
      <c r="D48">
        <v>45</v>
      </c>
      <c r="E48">
        <v>-1</v>
      </c>
      <c r="F48">
        <v>0</v>
      </c>
      <c r="G48">
        <v>345</v>
      </c>
    </row>
    <row r="49" spans="1:7">
      <c r="A49">
        <v>47</v>
      </c>
      <c r="B49" s="24">
        <f>ZConfig!G50</f>
        <v>110600</v>
      </c>
      <c r="C49">
        <v>47</v>
      </c>
      <c r="D49">
        <v>46</v>
      </c>
      <c r="E49">
        <v>-1</v>
      </c>
      <c r="F49">
        <v>0</v>
      </c>
      <c r="G49">
        <v>360</v>
      </c>
    </row>
    <row r="50" spans="1:7">
      <c r="A50">
        <v>48</v>
      </c>
      <c r="B50" s="24">
        <f>ZConfig!G51</f>
        <v>117650</v>
      </c>
      <c r="C50">
        <v>49</v>
      </c>
      <c r="D50">
        <v>47</v>
      </c>
      <c r="E50">
        <v>-1</v>
      </c>
      <c r="F50">
        <v>0</v>
      </c>
      <c r="G50">
        <v>375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5"/>
  <sheetViews>
    <sheetView zoomScaleNormal="100" workbookViewId="0">
      <selection activeCell="A27" sqref="A27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62</v>
      </c>
      <c r="B1" s="2" t="s">
        <v>105</v>
      </c>
      <c r="C1" s="6" t="s">
        <v>64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65</v>
      </c>
    </row>
    <row r="2" spans="1:41">
      <c r="D2" s="5" t="s">
        <v>66</v>
      </c>
      <c r="E2" s="8" t="s">
        <v>67</v>
      </c>
      <c r="F2" s="9" t="s">
        <v>68</v>
      </c>
      <c r="G2" s="5" t="s">
        <v>69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70</v>
      </c>
    </row>
    <row r="3" spans="1:41">
      <c r="A3" s="10" t="s">
        <v>71</v>
      </c>
      <c r="B3" s="2" t="s">
        <v>72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73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74</v>
      </c>
      <c r="B4" s="2" t="s">
        <v>75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46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76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52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77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78</v>
      </c>
      <c r="B7" s="2" t="s">
        <v>79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80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81</v>
      </c>
      <c r="B8" s="14" t="s">
        <v>36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82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83</v>
      </c>
      <c r="B9" s="2" t="s">
        <v>91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33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84</v>
      </c>
      <c r="B10" s="2" t="s">
        <v>123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85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86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34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87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88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89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35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90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42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91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92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44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93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94</v>
      </c>
      <c r="B21" s="2" t="s">
        <v>63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95</v>
      </c>
      <c r="B22" s="2" t="s">
        <v>105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96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97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98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124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99</v>
      </c>
      <c r="E28" s="8">
        <v>26</v>
      </c>
      <c r="F28" s="9">
        <f t="shared" ref="F28:F41" si="2">E28^$D$3</f>
        <v>17576</v>
      </c>
      <c r="G28" s="11">
        <f t="shared" ref="G28:G41" si="3">ROUNDUP(F28,-1)</f>
        <v>17580</v>
      </c>
      <c r="H28" s="13">
        <v>13701</v>
      </c>
      <c r="K28" s="20"/>
    </row>
    <row r="29" spans="1:11">
      <c r="A29" s="10" t="s">
        <v>53</v>
      </c>
      <c r="E29" s="8">
        <v>27</v>
      </c>
      <c r="F29" s="9">
        <f t="shared" si="2"/>
        <v>19683</v>
      </c>
      <c r="G29" s="11">
        <f t="shared" si="3"/>
        <v>19690</v>
      </c>
      <c r="H29" s="13">
        <v>13702</v>
      </c>
      <c r="K29" s="20"/>
    </row>
    <row r="30" spans="1:11">
      <c r="A30" s="10" t="s">
        <v>100</v>
      </c>
      <c r="E30" s="8">
        <v>28</v>
      </c>
      <c r="F30" s="9">
        <f t="shared" si="2"/>
        <v>21952</v>
      </c>
      <c r="G30" s="11">
        <f t="shared" si="3"/>
        <v>21960</v>
      </c>
      <c r="H30" s="13">
        <v>13703</v>
      </c>
      <c r="K30" s="20"/>
    </row>
    <row r="31" spans="1:11">
      <c r="A31" s="10" t="s">
        <v>51</v>
      </c>
      <c r="E31" s="8">
        <v>29</v>
      </c>
      <c r="F31" s="9">
        <f t="shared" si="2"/>
        <v>24389</v>
      </c>
      <c r="G31" s="11">
        <f t="shared" si="3"/>
        <v>24390</v>
      </c>
      <c r="H31" s="13">
        <v>13704</v>
      </c>
      <c r="K31" s="20"/>
    </row>
    <row r="32" spans="1:11">
      <c r="A32" s="10" t="s">
        <v>101</v>
      </c>
      <c r="E32" s="8">
        <v>30</v>
      </c>
      <c r="F32" s="9">
        <f t="shared" si="2"/>
        <v>27000</v>
      </c>
      <c r="G32" s="11">
        <f t="shared" si="3"/>
        <v>27000</v>
      </c>
      <c r="H32" s="13">
        <v>13705</v>
      </c>
      <c r="K32" s="20"/>
    </row>
    <row r="33" spans="1:11">
      <c r="A33" s="10" t="s">
        <v>102</v>
      </c>
      <c r="E33" s="8">
        <v>31</v>
      </c>
      <c r="F33" s="9">
        <f t="shared" si="2"/>
        <v>29791</v>
      </c>
      <c r="G33" s="11">
        <f t="shared" si="3"/>
        <v>29800</v>
      </c>
      <c r="H33" s="13">
        <v>13706</v>
      </c>
      <c r="K33" s="20"/>
    </row>
    <row r="34" spans="1:11">
      <c r="A34" s="10" t="s">
        <v>103</v>
      </c>
      <c r="E34" s="8">
        <v>32</v>
      </c>
      <c r="F34" s="9">
        <f t="shared" si="2"/>
        <v>32768</v>
      </c>
      <c r="G34" s="11">
        <f t="shared" si="3"/>
        <v>32770</v>
      </c>
      <c r="H34" s="13">
        <v>13707</v>
      </c>
      <c r="K34" s="20"/>
    </row>
    <row r="35" spans="1:11">
      <c r="A35" s="10" t="s">
        <v>104</v>
      </c>
      <c r="E35" s="8">
        <v>33</v>
      </c>
      <c r="F35" s="9">
        <f t="shared" si="2"/>
        <v>35937</v>
      </c>
      <c r="G35" s="11">
        <f t="shared" si="3"/>
        <v>35940</v>
      </c>
      <c r="H35" s="13">
        <v>13708</v>
      </c>
      <c r="K35" s="20"/>
    </row>
    <row r="36" spans="1:11">
      <c r="A36" s="10" t="s">
        <v>50</v>
      </c>
      <c r="E36" s="8">
        <v>34</v>
      </c>
      <c r="F36" s="9">
        <f t="shared" si="2"/>
        <v>39304</v>
      </c>
      <c r="G36" s="11">
        <f t="shared" si="3"/>
        <v>39310</v>
      </c>
      <c r="H36" s="13">
        <v>13709</v>
      </c>
    </row>
    <row r="37" spans="1:11">
      <c r="A37" s="10"/>
      <c r="E37" s="8">
        <v>35</v>
      </c>
      <c r="F37" s="9">
        <f t="shared" si="2"/>
        <v>42875</v>
      </c>
      <c r="G37" s="11">
        <f t="shared" si="3"/>
        <v>42880</v>
      </c>
      <c r="H37" s="13">
        <v>13710</v>
      </c>
    </row>
    <row r="38" spans="1:11">
      <c r="A38" s="10"/>
      <c r="E38" s="8">
        <v>36</v>
      </c>
      <c r="F38" s="9">
        <f t="shared" si="2"/>
        <v>46656</v>
      </c>
      <c r="G38" s="11">
        <f t="shared" si="3"/>
        <v>46660</v>
      </c>
      <c r="H38" s="13">
        <v>13711</v>
      </c>
    </row>
    <row r="39" spans="1:11">
      <c r="A39" s="10"/>
      <c r="E39" s="8">
        <v>37</v>
      </c>
      <c r="F39" s="9">
        <f t="shared" si="2"/>
        <v>50653</v>
      </c>
      <c r="G39" s="11">
        <f t="shared" si="3"/>
        <v>50660</v>
      </c>
      <c r="H39" s="13">
        <v>13712</v>
      </c>
    </row>
    <row r="40" spans="1:11">
      <c r="A40" s="10"/>
      <c r="E40" s="8">
        <v>38</v>
      </c>
      <c r="F40" s="9">
        <f t="shared" si="2"/>
        <v>54872</v>
      </c>
      <c r="G40" s="11">
        <f t="shared" si="3"/>
        <v>54880</v>
      </c>
      <c r="H40" s="13">
        <v>13713</v>
      </c>
    </row>
    <row r="41" spans="1:11">
      <c r="E41" s="8">
        <v>39</v>
      </c>
      <c r="F41" s="9">
        <f t="shared" si="2"/>
        <v>59319</v>
      </c>
      <c r="G41" s="11">
        <f t="shared" si="3"/>
        <v>59320</v>
      </c>
      <c r="H41" s="13">
        <v>13714</v>
      </c>
    </row>
    <row r="42" spans="1:11">
      <c r="E42" s="8">
        <v>40</v>
      </c>
      <c r="F42" s="9">
        <f t="shared" ref="F42:F55" si="4">E42^$D$3</f>
        <v>64000</v>
      </c>
      <c r="G42" s="11">
        <f t="shared" ref="G42:G55" si="5">ROUNDUP(F42,-1)</f>
        <v>64000</v>
      </c>
      <c r="H42" s="13">
        <v>13715</v>
      </c>
    </row>
    <row r="43" spans="1:11">
      <c r="E43" s="8">
        <v>41</v>
      </c>
      <c r="F43" s="9">
        <f t="shared" si="4"/>
        <v>68921</v>
      </c>
      <c r="G43" s="11">
        <f t="shared" si="5"/>
        <v>68930</v>
      </c>
      <c r="H43" s="13">
        <v>13716</v>
      </c>
    </row>
    <row r="44" spans="1:11">
      <c r="E44" s="8">
        <v>42</v>
      </c>
      <c r="F44" s="9">
        <f t="shared" si="4"/>
        <v>74088</v>
      </c>
      <c r="G44" s="11">
        <f t="shared" si="5"/>
        <v>74090</v>
      </c>
      <c r="H44" s="13">
        <v>13717</v>
      </c>
    </row>
    <row r="45" spans="1:11">
      <c r="E45" s="8">
        <v>43</v>
      </c>
      <c r="F45" s="9">
        <f t="shared" si="4"/>
        <v>79507</v>
      </c>
      <c r="G45" s="11">
        <f t="shared" si="5"/>
        <v>79510</v>
      </c>
      <c r="H45" s="13">
        <v>13718</v>
      </c>
    </row>
    <row r="46" spans="1:11">
      <c r="E46" s="8">
        <v>44</v>
      </c>
      <c r="F46" s="9">
        <f t="shared" si="4"/>
        <v>85184</v>
      </c>
      <c r="G46" s="11">
        <f t="shared" si="5"/>
        <v>85190</v>
      </c>
      <c r="H46" s="13">
        <v>13719</v>
      </c>
    </row>
    <row r="47" spans="1:11">
      <c r="E47" s="8">
        <v>45</v>
      </c>
      <c r="F47" s="9">
        <f t="shared" si="4"/>
        <v>91125</v>
      </c>
      <c r="G47" s="11">
        <f t="shared" si="5"/>
        <v>91130</v>
      </c>
      <c r="H47" s="13">
        <v>13720</v>
      </c>
    </row>
    <row r="48" spans="1:11">
      <c r="E48" s="8">
        <v>46</v>
      </c>
      <c r="F48" s="9">
        <f t="shared" si="4"/>
        <v>97336</v>
      </c>
      <c r="G48" s="11">
        <f t="shared" si="5"/>
        <v>97340</v>
      </c>
      <c r="H48" s="13">
        <v>13721</v>
      </c>
    </row>
    <row r="49" spans="5:8">
      <c r="E49" s="8">
        <v>47</v>
      </c>
      <c r="F49" s="9">
        <f t="shared" si="4"/>
        <v>103823</v>
      </c>
      <c r="G49" s="11">
        <f t="shared" si="5"/>
        <v>103830</v>
      </c>
      <c r="H49" s="13">
        <v>13722</v>
      </c>
    </row>
    <row r="50" spans="5:8">
      <c r="E50" s="8">
        <v>48</v>
      </c>
      <c r="F50" s="9">
        <f t="shared" si="4"/>
        <v>110592</v>
      </c>
      <c r="G50" s="11">
        <f t="shared" si="5"/>
        <v>110600</v>
      </c>
      <c r="H50" s="13">
        <v>13723</v>
      </c>
    </row>
    <row r="51" spans="5:8">
      <c r="E51" s="8">
        <v>49</v>
      </c>
      <c r="F51" s="9">
        <f t="shared" si="4"/>
        <v>117649</v>
      </c>
      <c r="G51" s="11">
        <f t="shared" si="5"/>
        <v>117650</v>
      </c>
      <c r="H51" s="13">
        <v>13724</v>
      </c>
    </row>
    <row r="52" spans="5:8">
      <c r="E52" s="8">
        <v>50</v>
      </c>
      <c r="F52" s="9">
        <f t="shared" si="4"/>
        <v>125000</v>
      </c>
      <c r="G52" s="11">
        <f t="shared" si="5"/>
        <v>125000</v>
      </c>
      <c r="H52" s="13">
        <v>13725</v>
      </c>
    </row>
    <row r="53" spans="5:8">
      <c r="E53" s="8">
        <v>51</v>
      </c>
      <c r="F53" s="9">
        <f t="shared" si="4"/>
        <v>132651</v>
      </c>
      <c r="G53" s="11">
        <f t="shared" si="5"/>
        <v>132660</v>
      </c>
      <c r="H53" s="13">
        <v>13726</v>
      </c>
    </row>
    <row r="54" spans="5:8">
      <c r="E54" s="8">
        <v>52</v>
      </c>
      <c r="F54" s="9">
        <f t="shared" si="4"/>
        <v>140608</v>
      </c>
      <c r="G54" s="11">
        <f t="shared" si="5"/>
        <v>140610</v>
      </c>
      <c r="H54" s="13">
        <v>13727</v>
      </c>
    </row>
    <row r="55" spans="5:8">
      <c r="E55" s="8">
        <v>53</v>
      </c>
      <c r="F55" s="9">
        <f t="shared" si="4"/>
        <v>148877</v>
      </c>
      <c r="G55" s="11">
        <f t="shared" si="5"/>
        <v>148880</v>
      </c>
      <c r="H55" s="13">
        <v>13728</v>
      </c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56:AD89 AN1:AO2 C1:AD1 A5:B7 C5:E27 A4:E4 A3:F3 J15:AD27 O2:AD14 C28:D35 L28:AD35 B36:D36 A13:B18 B19:B20 A20:A36 D2:H2 B22:B35 I28:J35 A37:D55 I36:AD55 E28:E55 F4:F55 H3:H5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3619500</xdr:colOff>
                <xdr:row>5</xdr:row>
                <xdr:rowOff>161925</xdr:rowOff>
              </from>
              <to>
                <xdr:col>3</xdr:col>
                <xdr:colOff>19050</xdr:colOff>
                <xdr:row>11</xdr:row>
                <xdr:rowOff>76200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Items</vt:lpstr>
      <vt:lpstr>Minerals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2018-06-17T13:49:13Z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